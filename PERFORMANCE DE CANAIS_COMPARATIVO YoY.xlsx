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9" yWindow="759" windowWidth="24232" windowHeight="9766" tabRatio="600" firstSheet="6" activeTab="8" autoFilterDateGrouping="1"/>
  </bookViews>
  <sheets>
    <sheet xmlns:r="http://schemas.openxmlformats.org/officeDocument/2006/relationships" name="ACUMULADO 2025" sheetId="1" state="visible" r:id="rId1"/>
    <sheet xmlns:r="http://schemas.openxmlformats.org/officeDocument/2006/relationships" name="COMAPRATIVO 24X25 SET" sheetId="2" state="visible" r:id="rId2"/>
    <sheet xmlns:r="http://schemas.openxmlformats.org/officeDocument/2006/relationships" name="COMAPRATIVO 24X25 OUT" sheetId="3" state="visible" r:id="rId3"/>
    <sheet xmlns:r="http://schemas.openxmlformats.org/officeDocument/2006/relationships" name="COMAPRATIVO 24X25 NOV" sheetId="4" state="visible" r:id="rId4"/>
    <sheet xmlns:r="http://schemas.openxmlformats.org/officeDocument/2006/relationships" name="COMAPRATIVO 24X25 DEZ" sheetId="5" state="visible" r:id="rId5"/>
    <sheet xmlns:r="http://schemas.openxmlformats.org/officeDocument/2006/relationships" name="COMAPRATIVO 25X26 JAN" sheetId="6" state="visible" r:id="rId6"/>
    <sheet xmlns:r="http://schemas.openxmlformats.org/officeDocument/2006/relationships" name="COMAPRATIVO 25X26 FEV" sheetId="7" state="visible" r:id="rId7"/>
    <sheet xmlns:r="http://schemas.openxmlformats.org/officeDocument/2006/relationships" name="COMAPRATIVO 25X26 MAR" sheetId="8" state="visible" r:id="rId8"/>
    <sheet xmlns:r="http://schemas.openxmlformats.org/officeDocument/2006/relationships" name="COMAPRATIVO 25X26 ABR" sheetId="9" state="visible" r:id="rId9"/>
    <sheet xmlns:r="http://schemas.openxmlformats.org/officeDocument/2006/relationships" name="COMAPRATIVO 24X25 (2)" sheetId="10" state="hidden" r:id="rId10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[$R$-416]\ * #,##0_-;\-[$R$-416]\ * #,##0_-;_-[$R$-416]\ * &quot;-&quot;??_-;_-@"/>
    <numFmt numFmtId="165" formatCode="_-[$R$-416]\ * #,##0.00_-;\-[$R$-416]\ * #,##0.00_-;_-[$R$-416]\ * &quot;-&quot;??_-;_-@"/>
    <numFmt numFmtId="166" formatCode="0.0%"/>
    <numFmt numFmtId="167" formatCode="#,##0.00_ ;\-#,##0.00\ "/>
    <numFmt numFmtId="168" formatCode="#,##0_ ;\-#,##0\ "/>
    <numFmt numFmtId="169" formatCode="#,##0.00;[Red]-#,##0.00"/>
    <numFmt numFmtId="170" formatCode="0.00%;[Red]-0.00%"/>
    <numFmt numFmtId="171" formatCode="#,##0;[Red]-#,##0"/>
  </numFmts>
  <fonts count="9">
    <font>
      <name val="Calibri"/>
      <color theme="1"/>
      <sz val="11"/>
      <scheme val="minor"/>
    </font>
    <font>
      <name val="Calibri"/>
      <color theme="1"/>
      <sz val="11"/>
      <u val="single"/>
    </font>
    <font>
      <name val="Calibri"/>
      <b val="1"/>
      <color theme="0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0"/>
      <sz val="11"/>
    </font>
    <font>
      <name val="Calibri"/>
      <family val="2"/>
      <color theme="1"/>
      <sz val="11"/>
      <u val="single"/>
    </font>
    <font>
      <name val="Calibri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5" fillId="0" borderId="0"/>
  </cellStyleXfs>
  <cellXfs count="16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3" fillId="0" borderId="4" pivotButton="0" quotePrefix="0" xfId="0"/>
    <xf numFmtId="164" fontId="4" fillId="0" borderId="5" pivotButton="0" quotePrefix="0" xfId="0"/>
    <xf numFmtId="164" fontId="4" fillId="0" borderId="6" pivotButton="0" quotePrefix="0" xfId="0"/>
    <xf numFmtId="9" fontId="3" fillId="0" borderId="7" applyAlignment="1" pivotButton="0" quotePrefix="0" xfId="0">
      <alignment horizontal="center"/>
    </xf>
    <xf numFmtId="165" fontId="3" fillId="0" borderId="7" applyAlignment="1" pivotButton="0" quotePrefix="0" xfId="0">
      <alignment horizontal="center"/>
    </xf>
    <xf numFmtId="166" fontId="3" fillId="0" borderId="7" applyAlignment="1" pivotButton="0" quotePrefix="0" xfId="0">
      <alignment horizontal="center"/>
    </xf>
    <xf numFmtId="0" fontId="3" fillId="0" borderId="8" pivotButton="0" quotePrefix="0" xfId="0"/>
    <xf numFmtId="164" fontId="4" fillId="0" borderId="9" pivotButton="0" quotePrefix="0" xfId="0"/>
    <xf numFmtId="164" fontId="4" fillId="0" borderId="10" pivotButton="0" quotePrefix="0" xfId="0"/>
    <xf numFmtId="9" fontId="3" fillId="0" borderId="11" applyAlignment="1" pivotButton="0" quotePrefix="0" xfId="0">
      <alignment horizontal="center"/>
    </xf>
    <xf numFmtId="165" fontId="3" fillId="0" borderId="11" applyAlignment="1" pivotButton="0" quotePrefix="0" xfId="0">
      <alignment horizontal="center"/>
    </xf>
    <xf numFmtId="166" fontId="3" fillId="0" borderId="12" applyAlignment="1" pivotButton="0" quotePrefix="0" xfId="0">
      <alignment horizontal="center"/>
    </xf>
    <xf numFmtId="0" fontId="3" fillId="0" borderId="13" pivotButton="0" quotePrefix="0" xfId="0"/>
    <xf numFmtId="164" fontId="4" fillId="0" borderId="0" pivotButton="0" quotePrefix="0" xfId="0"/>
    <xf numFmtId="164" fontId="4" fillId="0" borderId="14" pivotButton="0" quotePrefix="0" xfId="0"/>
    <xf numFmtId="166" fontId="3" fillId="0" borderId="11" applyAlignment="1" pivotButton="0" quotePrefix="0" xfId="0">
      <alignment horizontal="center"/>
    </xf>
    <xf numFmtId="164" fontId="2" fillId="2" borderId="1" pivotButton="0" quotePrefix="0" xfId="0"/>
    <xf numFmtId="164" fontId="2" fillId="2" borderId="2" pivotButton="0" quotePrefix="0" xfId="0"/>
    <xf numFmtId="166" fontId="3" fillId="3" borderId="2" applyAlignment="1" pivotButton="0" quotePrefix="0" xfId="0">
      <alignment horizontal="center"/>
    </xf>
    <xf numFmtId="165" fontId="3" fillId="4" borderId="2" applyAlignment="1" pivotButton="0" quotePrefix="0" xfId="0">
      <alignment horizontal="center"/>
    </xf>
    <xf numFmtId="0" fontId="5" fillId="0" borderId="0" pivotButton="0" quotePrefix="0" xfId="0"/>
    <xf numFmtId="164" fontId="2" fillId="2" borderId="1" applyAlignment="1" pivotButton="0" quotePrefix="0" xfId="0">
      <alignment horizontal="center"/>
    </xf>
    <xf numFmtId="166" fontId="3" fillId="4" borderId="2" applyAlignment="1" pivotButton="0" quotePrefix="0" xfId="0">
      <alignment horizontal="center"/>
    </xf>
    <xf numFmtId="0" fontId="4" fillId="0" borderId="0" pivotButton="0" quotePrefix="1" xfId="0"/>
    <xf numFmtId="0" fontId="2" fillId="2" borderId="15" applyAlignment="1" pivotButton="0" quotePrefix="0" xfId="0">
      <alignment horizontal="center"/>
    </xf>
    <xf numFmtId="167" fontId="4" fillId="0" borderId="5" pivotButton="0" quotePrefix="0" xfId="0"/>
    <xf numFmtId="167" fontId="4" fillId="0" borderId="6" pivotButton="0" quotePrefix="0" xfId="0"/>
    <xf numFmtId="9" fontId="3" fillId="0" borderId="4" applyAlignment="1" pivotButton="0" quotePrefix="0" xfId="0">
      <alignment horizontal="center"/>
    </xf>
    <xf numFmtId="9" fontId="3" fillId="0" borderId="6" applyAlignment="1" pivotButton="0" quotePrefix="0" xfId="0">
      <alignment horizontal="center"/>
    </xf>
    <xf numFmtId="167" fontId="3" fillId="0" borderId="4" applyAlignment="1" pivotButton="0" quotePrefix="0" xfId="0">
      <alignment horizontal="center"/>
    </xf>
    <xf numFmtId="167" fontId="3" fillId="0" borderId="6" applyAlignment="1" pivotButton="0" quotePrefix="0" xfId="0">
      <alignment horizontal="center"/>
    </xf>
    <xf numFmtId="166" fontId="3" fillId="0" borderId="4" applyAlignment="1" pivotButton="0" quotePrefix="0" xfId="0">
      <alignment horizontal="center"/>
    </xf>
    <xf numFmtId="167" fontId="4" fillId="0" borderId="9" pivotButton="0" quotePrefix="0" xfId="0"/>
    <xf numFmtId="167" fontId="4" fillId="0" borderId="10" pivotButton="0" quotePrefix="0" xfId="0"/>
    <xf numFmtId="9" fontId="3" fillId="0" borderId="8" applyAlignment="1" pivotButton="0" quotePrefix="0" xfId="0">
      <alignment horizontal="center"/>
    </xf>
    <xf numFmtId="9" fontId="3" fillId="0" borderId="10" applyAlignment="1" pivotButton="0" quotePrefix="0" xfId="0">
      <alignment horizontal="center"/>
    </xf>
    <xf numFmtId="167" fontId="3" fillId="0" borderId="8" applyAlignment="1" pivotButton="0" quotePrefix="0" xfId="0">
      <alignment horizontal="center"/>
    </xf>
    <xf numFmtId="167" fontId="3" fillId="0" borderId="10" applyAlignment="1" pivotButton="0" quotePrefix="0" xfId="0">
      <alignment horizontal="center"/>
    </xf>
    <xf numFmtId="166" fontId="3" fillId="0" borderId="8" applyAlignment="1" pivotButton="0" quotePrefix="0" xfId="0">
      <alignment horizontal="center"/>
    </xf>
    <xf numFmtId="167" fontId="4" fillId="0" borderId="0" pivotButton="0" quotePrefix="0" xfId="0"/>
    <xf numFmtId="167" fontId="4" fillId="0" borderId="14" pivotButton="0" quotePrefix="0" xfId="0"/>
    <xf numFmtId="9" fontId="3" fillId="0" borderId="13" applyAlignment="1" pivotButton="0" quotePrefix="0" xfId="0">
      <alignment horizontal="center"/>
    </xf>
    <xf numFmtId="9" fontId="3" fillId="0" borderId="14" applyAlignment="1" pivotButton="0" quotePrefix="0" xfId="0">
      <alignment horizontal="center"/>
    </xf>
    <xf numFmtId="167" fontId="3" fillId="0" borderId="13" applyAlignment="1" pivotButton="0" quotePrefix="0" xfId="0">
      <alignment horizontal="center"/>
    </xf>
    <xf numFmtId="167" fontId="3" fillId="0" borderId="14" applyAlignment="1" pivotButton="0" quotePrefix="0" xfId="0">
      <alignment horizontal="center"/>
    </xf>
    <xf numFmtId="166" fontId="3" fillId="0" borderId="13" applyAlignment="1" pivotButton="0" quotePrefix="0" xfId="0">
      <alignment horizontal="center"/>
    </xf>
    <xf numFmtId="167" fontId="2" fillId="2" borderId="1" pivotButton="0" quotePrefix="0" xfId="0"/>
    <xf numFmtId="167" fontId="2" fillId="2" borderId="2" pivotButton="0" quotePrefix="0" xfId="0"/>
    <xf numFmtId="166" fontId="3" fillId="4" borderId="1" applyAlignment="1" pivotButton="0" quotePrefix="0" xfId="0">
      <alignment horizontal="center"/>
    </xf>
    <xf numFmtId="166" fontId="3" fillId="4" borderId="16" applyAlignment="1" pivotButton="0" quotePrefix="0" xfId="0">
      <alignment horizontal="center"/>
    </xf>
    <xf numFmtId="167" fontId="3" fillId="4" borderId="1" applyAlignment="1" pivotButton="0" quotePrefix="0" xfId="0">
      <alignment horizontal="center"/>
    </xf>
    <xf numFmtId="167" fontId="3" fillId="4" borderId="16" applyAlignment="1" pivotButton="0" quotePrefix="0" xfId="0">
      <alignment horizontal="center"/>
    </xf>
    <xf numFmtId="167" fontId="2" fillId="2" borderId="1" applyAlignment="1" pivotButton="0" quotePrefix="0" xfId="0">
      <alignment horizontal="center"/>
    </xf>
    <xf numFmtId="166" fontId="4" fillId="0" borderId="0" pivotButton="0" quotePrefix="0" xfId="0"/>
    <xf numFmtId="2" fontId="4" fillId="0" borderId="0" pivotButton="0" quotePrefix="0" xfId="0"/>
    <xf numFmtId="0" fontId="2" fillId="2" borderId="15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7" fontId="4" fillId="0" borderId="5" applyAlignment="1" pivotButton="0" quotePrefix="0" xfId="0">
      <alignment horizontal="center"/>
    </xf>
    <xf numFmtId="167" fontId="4" fillId="0" borderId="6" applyAlignment="1" pivotButton="0" quotePrefix="0" xfId="0">
      <alignment horizontal="center"/>
    </xf>
    <xf numFmtId="167" fontId="3" fillId="0" borderId="7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7" fontId="4" fillId="0" borderId="9" applyAlignment="1" pivotButton="0" quotePrefix="0" xfId="0">
      <alignment horizontal="center"/>
    </xf>
    <xf numFmtId="167" fontId="4" fillId="0" borderId="10" applyAlignment="1" pivotButton="0" quotePrefix="0" xfId="0">
      <alignment horizontal="center"/>
    </xf>
    <xf numFmtId="167" fontId="3" fillId="0" borderId="12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7" fontId="4" fillId="0" borderId="14" applyAlignment="1" pivotButton="0" quotePrefix="0" xfId="0">
      <alignment horizontal="center"/>
    </xf>
    <xf numFmtId="167" fontId="3" fillId="0" borderId="11" applyAlignment="1" pivotButton="0" quotePrefix="0" xfId="0">
      <alignment horizontal="center"/>
    </xf>
    <xf numFmtId="167" fontId="2" fillId="2" borderId="2" applyAlignment="1" pivotButton="0" quotePrefix="0" xfId="0">
      <alignment horizontal="center"/>
    </xf>
    <xf numFmtId="167" fontId="3" fillId="4" borderId="2" applyAlignment="1" pivotButton="0" quotePrefix="0" xfId="0">
      <alignment horizontal="center"/>
    </xf>
    <xf numFmtId="168" fontId="4" fillId="0" borderId="5" applyAlignment="1" pivotButton="0" quotePrefix="0" xfId="0">
      <alignment horizontal="center"/>
    </xf>
    <xf numFmtId="168" fontId="4" fillId="0" borderId="6" applyAlignment="1" pivotButton="0" quotePrefix="0" xfId="0">
      <alignment horizontal="center"/>
    </xf>
    <xf numFmtId="168" fontId="3" fillId="0" borderId="7" applyAlignment="1" pivotButton="0" quotePrefix="0" xfId="0">
      <alignment horizontal="center"/>
    </xf>
    <xf numFmtId="168" fontId="4" fillId="0" borderId="9" applyAlignment="1" pivotButton="0" quotePrefix="0" xfId="0">
      <alignment horizontal="center"/>
    </xf>
    <xf numFmtId="168" fontId="4" fillId="0" borderId="10" applyAlignment="1" pivotButton="0" quotePrefix="0" xfId="0">
      <alignment horizontal="center"/>
    </xf>
    <xf numFmtId="168" fontId="3" fillId="0" borderId="12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8" fontId="4" fillId="0" borderId="14" applyAlignment="1" pivotButton="0" quotePrefix="0" xfId="0">
      <alignment horizontal="center"/>
    </xf>
    <xf numFmtId="168" fontId="3" fillId="0" borderId="11" applyAlignment="1" pivotButton="0" quotePrefix="0" xfId="0">
      <alignment horizontal="center"/>
    </xf>
    <xf numFmtId="168" fontId="2" fillId="2" borderId="1" applyAlignment="1" pivotButton="0" quotePrefix="0" xfId="0">
      <alignment horizontal="center"/>
    </xf>
    <xf numFmtId="168" fontId="2" fillId="2" borderId="2" applyAlignment="1" pivotButton="0" quotePrefix="0" xfId="0">
      <alignment horizontal="center"/>
    </xf>
    <xf numFmtId="168" fontId="3" fillId="4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9" fontId="3" fillId="0" borderId="12" applyAlignment="1" pivotButton="0" quotePrefix="0" xfId="0">
      <alignment horizontal="center"/>
    </xf>
    <xf numFmtId="166" fontId="3" fillId="0" borderId="0" applyAlignment="1" pivotButton="0" quotePrefix="0" xfId="0">
      <alignment horizontal="left"/>
    </xf>
    <xf numFmtId="0" fontId="4" fillId="0" borderId="17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2" fillId="5" borderId="15" applyAlignment="1" pivotButton="0" quotePrefix="0" xfId="0">
      <alignment horizontal="center"/>
    </xf>
    <xf numFmtId="165" fontId="4" fillId="0" borderId="5" pivotButton="0" quotePrefix="0" xfId="0"/>
    <xf numFmtId="165" fontId="4" fillId="0" borderId="6" pivotButton="0" quotePrefix="0" xfId="0"/>
    <xf numFmtId="165" fontId="4" fillId="0" borderId="9" pivotButton="0" quotePrefix="0" xfId="0"/>
    <xf numFmtId="165" fontId="4" fillId="0" borderId="10" pivotButton="0" quotePrefix="0" xfId="0"/>
    <xf numFmtId="165" fontId="3" fillId="0" borderId="12" applyAlignment="1" pivotButton="0" quotePrefix="0" xfId="0">
      <alignment horizontal="center"/>
    </xf>
    <xf numFmtId="165" fontId="4" fillId="0" borderId="0" pivotButton="0" quotePrefix="0" xfId="0"/>
    <xf numFmtId="165" fontId="4" fillId="0" borderId="14" pivotButton="0" quotePrefix="0" xfId="0"/>
    <xf numFmtId="0" fontId="6" fillId="5" borderId="1" pivotButton="0" quotePrefix="0" xfId="0"/>
    <xf numFmtId="165" fontId="2" fillId="5" borderId="1" pivotButton="0" quotePrefix="0" xfId="0"/>
    <xf numFmtId="165" fontId="2" fillId="5" borderId="2" pivotButton="0" quotePrefix="0" xfId="0"/>
    <xf numFmtId="9" fontId="3" fillId="0" borderId="18" applyAlignment="1" pivotButton="0" quotePrefix="0" xfId="0">
      <alignment horizontal="center"/>
    </xf>
    <xf numFmtId="165" fontId="3" fillId="0" borderId="2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9" fontId="3" fillId="7" borderId="1" applyAlignment="1" pivotButton="0" quotePrefix="0" xfId="0">
      <alignment horizontal="center"/>
    </xf>
    <xf numFmtId="165" fontId="3" fillId="7" borderId="2" applyAlignment="1" pivotButton="0" quotePrefix="0" xfId="0">
      <alignment horizontal="center"/>
    </xf>
    <xf numFmtId="9" fontId="4" fillId="0" borderId="0" pivotButton="0" quotePrefix="0" xfId="0"/>
    <xf numFmtId="167" fontId="8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9" fontId="4" fillId="0" borderId="5" pivotButton="0" quotePrefix="0" xfId="0"/>
    <xf numFmtId="169" fontId="4" fillId="0" borderId="6" pivotButton="0" quotePrefix="0" xfId="0"/>
    <xf numFmtId="170" fontId="3" fillId="0" borderId="4" applyAlignment="1" pivotButton="0" quotePrefix="0" xfId="0">
      <alignment horizontal="center"/>
    </xf>
    <xf numFmtId="170" fontId="3" fillId="0" borderId="6" applyAlignment="1" pivotButton="0" quotePrefix="0" xfId="0">
      <alignment horizontal="center"/>
    </xf>
    <xf numFmtId="169" fontId="3" fillId="0" borderId="4" applyAlignment="1" pivotButton="0" quotePrefix="0" xfId="0">
      <alignment horizontal="center"/>
    </xf>
    <xf numFmtId="169" fontId="3" fillId="0" borderId="6" applyAlignment="1" pivotButton="0" quotePrefix="0" xfId="0">
      <alignment horizontal="center"/>
    </xf>
    <xf numFmtId="170" fontId="3" fillId="0" borderId="7" applyAlignment="1" pivotButton="0" quotePrefix="0" xfId="0">
      <alignment horizontal="center"/>
    </xf>
    <xf numFmtId="169" fontId="4" fillId="0" borderId="0" pivotButton="0" quotePrefix="0" xfId="0"/>
    <xf numFmtId="169" fontId="4" fillId="0" borderId="14" pivotButton="0" quotePrefix="0" xfId="0"/>
    <xf numFmtId="170" fontId="3" fillId="0" borderId="13" applyAlignment="1" pivotButton="0" quotePrefix="0" xfId="0">
      <alignment horizontal="center"/>
    </xf>
    <xf numFmtId="170" fontId="3" fillId="0" borderId="14" applyAlignment="1" pivotButton="0" quotePrefix="0" xfId="0">
      <alignment horizontal="center"/>
    </xf>
    <xf numFmtId="169" fontId="3" fillId="0" borderId="13" applyAlignment="1" pivotButton="0" quotePrefix="0" xfId="0">
      <alignment horizontal="center"/>
    </xf>
    <xf numFmtId="169" fontId="3" fillId="0" borderId="14" applyAlignment="1" pivotButton="0" quotePrefix="0" xfId="0">
      <alignment horizontal="center"/>
    </xf>
    <xf numFmtId="170" fontId="3" fillId="0" borderId="11" applyAlignment="1" pivotButton="0" quotePrefix="0" xfId="0">
      <alignment horizontal="center"/>
    </xf>
    <xf numFmtId="169" fontId="4" fillId="0" borderId="9" pivotButton="0" quotePrefix="0" xfId="0"/>
    <xf numFmtId="169" fontId="4" fillId="0" borderId="10" pivotButton="0" quotePrefix="0" xfId="0"/>
    <xf numFmtId="169" fontId="8" fillId="0" borderId="0" pivotButton="0" quotePrefix="0" xfId="0"/>
    <xf numFmtId="170" fontId="3" fillId="0" borderId="8" applyAlignment="1" pivotButton="0" quotePrefix="0" xfId="0">
      <alignment horizontal="center"/>
    </xf>
    <xf numFmtId="170" fontId="3" fillId="0" borderId="10" applyAlignment="1" pivotButton="0" quotePrefix="0" xfId="0">
      <alignment horizontal="center"/>
    </xf>
    <xf numFmtId="169" fontId="3" fillId="0" borderId="8" applyAlignment="1" pivotButton="0" quotePrefix="0" xfId="0">
      <alignment horizontal="center"/>
    </xf>
    <xf numFmtId="169" fontId="3" fillId="0" borderId="10" applyAlignment="1" pivotButton="0" quotePrefix="0" xfId="0">
      <alignment horizontal="center"/>
    </xf>
    <xf numFmtId="170" fontId="3" fillId="0" borderId="12" applyAlignment="1" pivotButton="0" quotePrefix="0" xfId="0">
      <alignment horizontal="center"/>
    </xf>
    <xf numFmtId="169" fontId="2" fillId="2" borderId="1" pivotButton="0" quotePrefix="0" xfId="0"/>
    <xf numFmtId="169" fontId="2" fillId="2" borderId="2" pivotButton="0" quotePrefix="0" xfId="0"/>
    <xf numFmtId="170" fontId="3" fillId="4" borderId="1" applyAlignment="1" pivotButton="0" quotePrefix="0" xfId="0">
      <alignment horizontal="center"/>
    </xf>
    <xf numFmtId="170" fontId="3" fillId="4" borderId="16" applyAlignment="1" pivotButton="0" quotePrefix="0" xfId="0">
      <alignment horizontal="center"/>
    </xf>
    <xf numFmtId="169" fontId="3" fillId="4" borderId="1" applyAlignment="1" pivotButton="0" quotePrefix="0" xfId="0">
      <alignment horizontal="center"/>
    </xf>
    <xf numFmtId="169" fontId="3" fillId="4" borderId="16" applyAlignment="1" pivotButton="0" quotePrefix="0" xfId="0">
      <alignment horizontal="center"/>
    </xf>
    <xf numFmtId="169" fontId="4" fillId="0" borderId="5" applyAlignment="1" pivotButton="0" quotePrefix="0" xfId="0">
      <alignment horizontal="center"/>
    </xf>
    <xf numFmtId="169" fontId="4" fillId="0" borderId="6" applyAlignment="1" pivotButton="0" quotePrefix="0" xfId="0">
      <alignment horizontal="center"/>
    </xf>
    <xf numFmtId="169" fontId="3" fillId="0" borderId="7" applyAlignment="1" pivotButton="0" quotePrefix="0" xfId="0">
      <alignment horizontal="center"/>
    </xf>
    <xf numFmtId="170" fontId="3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69" fontId="4" fillId="0" borderId="14" applyAlignment="1" pivotButton="0" quotePrefix="0" xfId="0">
      <alignment horizontal="center"/>
    </xf>
    <xf numFmtId="169" fontId="3" fillId="0" borderId="11" applyAlignment="1" pivotButton="0" quotePrefix="0" xfId="0">
      <alignment horizontal="center"/>
    </xf>
    <xf numFmtId="169" fontId="4" fillId="0" borderId="9" applyAlignment="1" pivotButton="0" quotePrefix="0" xfId="0">
      <alignment horizontal="center"/>
    </xf>
    <xf numFmtId="169" fontId="4" fillId="0" borderId="10" applyAlignment="1" pivotButton="0" quotePrefix="0" xfId="0">
      <alignment horizontal="center"/>
    </xf>
    <xf numFmtId="169" fontId="3" fillId="0" borderId="12" applyAlignment="1" pivotButton="0" quotePrefix="0" xfId="0">
      <alignment horizontal="center"/>
    </xf>
    <xf numFmtId="170" fontId="3" fillId="0" borderId="0" applyAlignment="1" pivotButton="0" quotePrefix="0" xfId="0">
      <alignment horizontal="left"/>
    </xf>
    <xf numFmtId="169" fontId="2" fillId="2" borderId="1" applyAlignment="1" pivotButton="0" quotePrefix="0" xfId="0">
      <alignment horizontal="center"/>
    </xf>
    <xf numFmtId="169" fontId="2" fillId="2" borderId="2" applyAlignment="1" pivotButton="0" quotePrefix="0" xfId="0">
      <alignment horizontal="center"/>
    </xf>
    <xf numFmtId="169" fontId="3" fillId="4" borderId="2" applyAlignment="1" pivotButton="0" quotePrefix="0" xfId="0">
      <alignment horizontal="center"/>
    </xf>
    <xf numFmtId="171" fontId="3" fillId="0" borderId="7" applyAlignment="1" pivotButton="0" quotePrefix="0" xfId="0">
      <alignment horizontal="center"/>
    </xf>
    <xf numFmtId="171" fontId="3" fillId="0" borderId="11" applyAlignment="1" pivotButton="0" quotePrefix="0" xfId="0">
      <alignment horizontal="center"/>
    </xf>
    <xf numFmtId="171" fontId="3" fillId="0" borderId="12" applyAlignment="1" pivotButton="0" quotePrefix="0" xfId="0">
      <alignment horizontal="center"/>
    </xf>
    <xf numFmtId="171" fontId="2" fillId="2" borderId="1" applyAlignment="1" pivotButton="0" quotePrefix="0" xfId="0">
      <alignment horizontal="center"/>
    </xf>
    <xf numFmtId="171" fontId="2" fillId="2" borderId="2" applyAlignment="1" pivotButton="0" quotePrefix="0" xfId="0">
      <alignment horizontal="center"/>
    </xf>
    <xf numFmtId="171" fontId="3" fillId="4" borderId="2" applyAlignment="1" pivotButton="0" quotePrefix="0" xfId="0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7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88671875" customWidth="1" style="113" min="1" max="1"/>
    <col width="23.109375" customWidth="1" style="113" min="2" max="2"/>
    <col width="19.6640625" customWidth="1" style="113" min="3" max="4"/>
    <col width="1.88671875" customWidth="1" style="113" min="5" max="5"/>
    <col width="11.44140625" customWidth="1" style="113" min="6" max="6"/>
    <col width="1.6640625" customWidth="1" style="113" min="7" max="7"/>
    <col width="18.6640625" customWidth="1" style="113" min="8" max="8"/>
    <col width="1.88671875" customWidth="1" style="113" min="9" max="9"/>
    <col width="10.6640625" customWidth="1" style="113" min="10" max="10"/>
    <col width="12.33203125" customWidth="1" style="113" min="11" max="12"/>
    <col width="8.6640625" customWidth="1" style="113" min="13" max="26"/>
  </cols>
  <sheetData>
    <row r="1" ht="14.25" customHeight="1" s="113"/>
    <row r="2" ht="14.25" customHeight="1" s="113">
      <c r="B2" s="114" t="inlineStr">
        <is>
          <t>JANEIRO A SETEMBRO</t>
        </is>
      </c>
    </row>
    <row r="3" ht="14.25" customHeight="1" s="113"/>
    <row r="4" ht="14.25" customHeight="1" s="113">
      <c r="B4" s="1" t="inlineStr">
        <is>
          <t>CANAIS</t>
        </is>
      </c>
      <c r="C4" s="2" t="n">
        <v>2025</v>
      </c>
      <c r="D4" s="2" t="inlineStr">
        <is>
          <t>ORÇADO 2025</t>
        </is>
      </c>
      <c r="F4" s="3" t="inlineStr">
        <is>
          <t>% 25 X ORÇ.</t>
        </is>
      </c>
      <c r="H4" s="2" t="inlineStr">
        <is>
          <t>DIF 25 X ORÇ.</t>
        </is>
      </c>
      <c r="J4" s="3" t="inlineStr">
        <is>
          <t>% PART. 25</t>
        </is>
      </c>
      <c r="K4" s="3" t="inlineStr">
        <is>
          <t>% PART. ORÇ</t>
        </is>
      </c>
      <c r="L4" s="3" t="inlineStr">
        <is>
          <t>P.P. %</t>
        </is>
      </c>
    </row>
    <row r="5" ht="14.25" customHeight="1" s="113">
      <c r="B5" s="4" t="inlineStr">
        <is>
          <t>GUICHÊS PRÓPRIOS UTP</t>
        </is>
      </c>
      <c r="C5" s="5" t="n">
        <v>308714046.42</v>
      </c>
      <c r="D5" s="6" t="n">
        <v>266357751</v>
      </c>
      <c r="F5" s="7">
        <f>C5/D5-1</f>
        <v/>
      </c>
      <c r="H5" s="8">
        <f>C5-D5</f>
        <v/>
      </c>
      <c r="J5" s="9">
        <f>C5/C14</f>
        <v/>
      </c>
      <c r="K5" s="9">
        <f>D5/D14</f>
        <v/>
      </c>
      <c r="L5" s="9">
        <f>J5-K5</f>
        <v/>
      </c>
    </row>
    <row r="6" ht="14.25" customHeight="1" s="113">
      <c r="B6" s="10" t="inlineStr">
        <is>
          <t>GUICHÊS TERCEIROS UTP</t>
        </is>
      </c>
      <c r="C6" s="11" t="n">
        <v>134643773.06</v>
      </c>
      <c r="D6" s="12" t="n">
        <v>106776251</v>
      </c>
      <c r="F6" s="13">
        <f>C6/D6-1</f>
        <v/>
      </c>
      <c r="H6" s="14">
        <f>C6-D6</f>
        <v/>
      </c>
      <c r="J6" s="15">
        <f>C6/C14</f>
        <v/>
      </c>
      <c r="K6" s="15">
        <f>D6/D14</f>
        <v/>
      </c>
      <c r="L6" s="15">
        <f>J6-K6</f>
        <v/>
      </c>
    </row>
    <row r="7" ht="14.25" customHeight="1" s="113">
      <c r="B7" s="16" t="inlineStr">
        <is>
          <t>SITES PRÓPRIOS UTP</t>
        </is>
      </c>
      <c r="C7" s="17" t="n">
        <v>278542891.59</v>
      </c>
      <c r="D7" s="18" t="n">
        <v>305892543</v>
      </c>
      <c r="F7" s="13">
        <f>C7/D7-1</f>
        <v/>
      </c>
      <c r="H7" s="14">
        <f>C7-D7</f>
        <v/>
      </c>
      <c r="J7" s="9">
        <f>C7/C14</f>
        <v/>
      </c>
      <c r="K7" s="9">
        <f>D7/D14</f>
        <v/>
      </c>
      <c r="L7" s="9">
        <f>J7-K7</f>
        <v/>
      </c>
    </row>
    <row r="8" ht="14.25" customHeight="1" s="113">
      <c r="B8" s="16" t="inlineStr">
        <is>
          <t>SITES TERCEIROS UTP</t>
        </is>
      </c>
      <c r="C8" s="17" t="n">
        <v>216226075.05</v>
      </c>
      <c r="D8" s="18" t="n">
        <v>214947528</v>
      </c>
      <c r="F8" s="13">
        <f>C8/D8-1</f>
        <v/>
      </c>
      <c r="H8" s="14">
        <f>C8-D8</f>
        <v/>
      </c>
      <c r="J8" s="19">
        <f>C8/C14</f>
        <v/>
      </c>
      <c r="K8" s="19">
        <f>D8/D14</f>
        <v/>
      </c>
      <c r="L8" s="19">
        <f>J8-K8</f>
        <v/>
      </c>
    </row>
    <row r="9" ht="14.25" customHeight="1" s="113">
      <c r="B9" s="16" t="inlineStr">
        <is>
          <t>OUTLET DE PASSAGENS</t>
        </is>
      </c>
      <c r="C9" s="17" t="n">
        <v>13694702.04</v>
      </c>
      <c r="D9" s="18" t="n">
        <v>17561918</v>
      </c>
      <c r="F9" s="13">
        <f>C9/D9-1</f>
        <v/>
      </c>
      <c r="H9" s="14">
        <f>C9-D9</f>
        <v/>
      </c>
      <c r="J9" s="19">
        <f>C9/C14</f>
        <v/>
      </c>
      <c r="K9" s="19">
        <f>D9/D14</f>
        <v/>
      </c>
      <c r="L9" s="19">
        <f>J9-K9</f>
        <v/>
      </c>
    </row>
    <row r="10" ht="14.25" customHeight="1" s="113">
      <c r="B10" s="16" t="inlineStr">
        <is>
          <t>CLUBE GIRO</t>
        </is>
      </c>
      <c r="C10" s="17" t="n">
        <v>29469900.23</v>
      </c>
      <c r="D10" s="18" t="n">
        <v>40275607</v>
      </c>
      <c r="F10" s="13">
        <f>C10/D10-1</f>
        <v/>
      </c>
      <c r="H10" s="14">
        <f>C10-D10</f>
        <v/>
      </c>
      <c r="J10" s="19">
        <f>C10/C14</f>
        <v/>
      </c>
      <c r="K10" s="19">
        <f>D10/D14</f>
        <v/>
      </c>
      <c r="L10" s="19">
        <f>J10-K10</f>
        <v/>
      </c>
    </row>
    <row r="11" ht="14.25" customHeight="1" s="113">
      <c r="B11" s="16" t="inlineStr">
        <is>
          <t>WEMOBI</t>
        </is>
      </c>
      <c r="C11" s="17" t="n">
        <v>12617453.66</v>
      </c>
      <c r="D11" s="18" t="n">
        <v>16511950</v>
      </c>
      <c r="F11" s="13">
        <f>C11/D11-1</f>
        <v/>
      </c>
      <c r="H11" s="14">
        <f>C11-D11</f>
        <v/>
      </c>
      <c r="J11" s="19">
        <f>C11/C14</f>
        <v/>
      </c>
      <c r="K11" s="19">
        <f>D11/D14</f>
        <v/>
      </c>
      <c r="L11" s="19">
        <f>J11-K11</f>
        <v/>
      </c>
    </row>
    <row r="12" ht="14.25" customHeight="1" s="113">
      <c r="B12" s="16" t="inlineStr">
        <is>
          <t>TOTEM</t>
        </is>
      </c>
      <c r="C12" s="17" t="n">
        <v>14998993.22</v>
      </c>
      <c r="D12" s="18" t="n">
        <v>20573215</v>
      </c>
      <c r="F12" s="13">
        <f>C12/D12-1</f>
        <v/>
      </c>
      <c r="H12" s="14">
        <f>C12-D12</f>
        <v/>
      </c>
      <c r="J12" s="19">
        <f>C12/C14</f>
        <v/>
      </c>
      <c r="K12" s="19">
        <f>D12/D14</f>
        <v/>
      </c>
      <c r="L12" s="19">
        <f>J12-K12</f>
        <v/>
      </c>
    </row>
    <row r="13" ht="14.25" customHeight="1" s="113">
      <c r="B13" s="10" t="inlineStr">
        <is>
          <t>GIPSYY</t>
        </is>
      </c>
      <c r="C13" s="11" t="n">
        <v>409634.25</v>
      </c>
      <c r="D13" s="12" t="n">
        <v>771143</v>
      </c>
      <c r="F13" s="13">
        <f>C13/D13-1</f>
        <v/>
      </c>
      <c r="H13" s="14">
        <f>C13-D13</f>
        <v/>
      </c>
      <c r="J13" s="15">
        <f>C13/C14</f>
        <v/>
      </c>
      <c r="K13" s="15">
        <f>D13/D14</f>
        <v/>
      </c>
      <c r="L13" s="15">
        <f>J13-K13</f>
        <v/>
      </c>
    </row>
    <row r="14" ht="14.25" customHeight="1" s="113">
      <c r="B14" s="1" t="inlineStr">
        <is>
          <t>TOTAL</t>
        </is>
      </c>
      <c r="C14" s="20">
        <f>SUM(C5:C13)</f>
        <v/>
      </c>
      <c r="D14" s="21">
        <f>SUM(D5:D13)</f>
        <v/>
      </c>
      <c r="F14" s="22">
        <f>C14/D14-1</f>
        <v/>
      </c>
      <c r="H14" s="23">
        <f>C14-D14</f>
        <v/>
      </c>
    </row>
    <row r="15" ht="14.25" customHeight="1" s="113">
      <c r="D15" s="24" t="inlineStr">
        <is>
          <t xml:space="preserve"> </t>
        </is>
      </c>
    </row>
    <row r="16" ht="14.25" customHeight="1" s="113">
      <c r="B16" s="1" t="inlineStr">
        <is>
          <t>CANAIS</t>
        </is>
      </c>
      <c r="C16" s="2" t="n">
        <v>2025</v>
      </c>
      <c r="D16" s="1" t="inlineStr">
        <is>
          <t>ORÇADO 2025</t>
        </is>
      </c>
      <c r="F16" s="2" t="inlineStr">
        <is>
          <t>% 25 X ORÇ.</t>
        </is>
      </c>
      <c r="H16" s="2" t="inlineStr">
        <is>
          <t>DIF 25 X ORÇ.</t>
        </is>
      </c>
      <c r="J16" s="2" t="inlineStr">
        <is>
          <t>% PART. 25</t>
        </is>
      </c>
      <c r="K16" s="3" t="inlineStr">
        <is>
          <t>% PART. ORÇ</t>
        </is>
      </c>
      <c r="L16" s="3" t="inlineStr">
        <is>
          <t>P.P. %</t>
        </is>
      </c>
    </row>
    <row r="17" ht="14.25" customHeight="1" s="113">
      <c r="B17" s="16" t="inlineStr">
        <is>
          <t>OFFLINE</t>
        </is>
      </c>
      <c r="C17" s="17">
        <f>C5+C6</f>
        <v/>
      </c>
      <c r="D17" s="17">
        <f>D5+D6</f>
        <v/>
      </c>
      <c r="F17" s="13">
        <f>C17/D17-1</f>
        <v/>
      </c>
      <c r="H17" s="14">
        <f>C17-D17</f>
        <v/>
      </c>
      <c r="J17" s="9">
        <f>C17/C19</f>
        <v/>
      </c>
      <c r="K17" s="9">
        <f>D17/D19</f>
        <v/>
      </c>
      <c r="L17" s="9">
        <f>J17-K17</f>
        <v/>
      </c>
    </row>
    <row r="18" ht="14.25" customHeight="1" s="113">
      <c r="B18" s="10" t="inlineStr">
        <is>
          <t>ONLINE</t>
        </is>
      </c>
      <c r="C18" s="11">
        <f>C7+C8+C9+C10+C11+C12+C13</f>
        <v/>
      </c>
      <c r="D18" s="11">
        <f>D7+D8+D9+D10+D11+D12+D13</f>
        <v/>
      </c>
      <c r="F18" s="13">
        <f>C18/D18-1</f>
        <v/>
      </c>
      <c r="H18" s="14">
        <f>C18-D18</f>
        <v/>
      </c>
      <c r="J18" s="15">
        <f>C18/C19</f>
        <v/>
      </c>
      <c r="K18" s="15">
        <f>D18/D19</f>
        <v/>
      </c>
      <c r="L18" s="15">
        <f>J18-K18</f>
        <v/>
      </c>
    </row>
    <row r="19" ht="14.25" customHeight="1" s="113">
      <c r="B19" s="1" t="inlineStr">
        <is>
          <t>TOTAL</t>
        </is>
      </c>
      <c r="C19" s="25">
        <f>C17+C18</f>
        <v/>
      </c>
      <c r="D19" s="25">
        <f>D17+D18</f>
        <v/>
      </c>
      <c r="F19" s="26">
        <f>C19/D19-1</f>
        <v/>
      </c>
      <c r="H19" s="23">
        <f>C19-D19</f>
        <v/>
      </c>
    </row>
    <row r="20" ht="14.25" customHeight="1" s="113"/>
    <row r="21" ht="14.25" customHeight="1" s="113"/>
    <row r="22" ht="14.25" customHeight="1" s="113"/>
    <row r="23" ht="14.25" customHeight="1" s="113"/>
    <row r="24" ht="14.25" customHeight="1" s="113"/>
    <row r="25" ht="14.25" customHeight="1" s="113"/>
    <row r="26" ht="14.25" customHeight="1" s="113"/>
    <row r="27" ht="14.25" customHeight="1" s="113"/>
    <row r="28" ht="14.25" customHeight="1" s="113"/>
    <row r="29" ht="14.25" customHeight="1" s="113"/>
    <row r="30" ht="14.25" customHeight="1" s="113"/>
    <row r="31" ht="14.25" customHeight="1" s="113"/>
    <row r="32" ht="14.25" customHeight="1" s="113"/>
    <row r="33" ht="14.25" customHeight="1" s="113"/>
    <row r="34" ht="14.25" customHeight="1" s="113"/>
    <row r="35" ht="14.25" customHeight="1" s="113"/>
    <row r="36" ht="14.25" customHeight="1" s="113"/>
    <row r="37" ht="14.25" customHeight="1" s="113"/>
    <row r="38" ht="14.25" customHeight="1" s="113"/>
    <row r="39" ht="14.25" customHeight="1" s="113"/>
    <row r="40" ht="14.25" customHeight="1" s="113"/>
    <row r="41" ht="14.25" customHeight="1" s="113">
      <c r="D41" s="24" t="inlineStr">
        <is>
          <t>28/07 A 29/07</t>
        </is>
      </c>
    </row>
    <row r="42" ht="14.25" customHeight="1" s="113">
      <c r="D42" s="24" t="inlineStr">
        <is>
          <t>28/07 A 29/07</t>
        </is>
      </c>
    </row>
    <row r="43" ht="14.25" customHeight="1" s="113">
      <c r="D43" s="27" t="inlineStr">
        <is>
          <t>29/07 A 31/07</t>
        </is>
      </c>
    </row>
    <row r="44" ht="14.25" customHeight="1" s="113">
      <c r="D44" s="27" t="inlineStr">
        <is>
          <t>29/07</t>
        </is>
      </c>
    </row>
    <row r="45" ht="14.25" customHeight="1" s="113"/>
    <row r="46" ht="14.25" customHeight="1" s="113"/>
    <row r="47" ht="14.25" customHeight="1" s="113">
      <c r="D47" s="24" t="inlineStr">
        <is>
          <t>30/07 A 31/07</t>
        </is>
      </c>
    </row>
    <row r="48" ht="14.25" customHeight="1" s="113"/>
    <row r="49" ht="14.25" customHeight="1" s="113"/>
    <row r="50" ht="14.25" customHeight="1" s="113"/>
    <row r="51" ht="14.25" customHeight="1" s="113"/>
    <row r="52" ht="14.25" customHeight="1" s="113"/>
    <row r="53" ht="14.25" customHeight="1" s="113"/>
    <row r="54" ht="14.25" customHeight="1" s="113"/>
    <row r="55" ht="14.25" customHeight="1" s="113"/>
    <row r="56" ht="14.25" customHeight="1" s="113"/>
    <row r="57" ht="14.25" customHeight="1" s="113"/>
    <row r="58" ht="14.25" customHeight="1" s="113"/>
    <row r="59" ht="14.25" customHeight="1" s="113"/>
    <row r="60" ht="14.25" customHeight="1" s="113"/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50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88671875" customWidth="1" style="113" min="1" max="1"/>
    <col width="22" customWidth="1" style="113" min="2" max="2"/>
    <col width="18.33203125" customWidth="1" style="113" min="3" max="3"/>
    <col width="14.88671875" customWidth="1" style="113" min="4" max="4"/>
    <col width="15.109375" customWidth="1" style="113" min="5" max="5"/>
    <col width="1.88671875" customWidth="1" style="113" min="6" max="6"/>
    <col width="11" customWidth="1" style="113" min="7" max="7"/>
    <col width="10.44140625" customWidth="1" style="113" min="8" max="8"/>
    <col width="1.6640625" customWidth="1" style="113" min="9" max="9"/>
    <col width="14.5546875" customWidth="1" style="113" min="10" max="10"/>
    <col width="15.109375" customWidth="1" style="113" min="11" max="11"/>
    <col width="1.88671875" customWidth="1" style="113" min="12" max="12"/>
    <col width="11.6640625" customWidth="1" style="113" min="13" max="13"/>
    <col width="15.5546875" customWidth="1" style="113" min="14" max="14"/>
    <col width="10.5546875" customWidth="1" style="113" min="15" max="15"/>
    <col width="8.44140625" customWidth="1" style="113" min="16" max="16"/>
    <col width="6.66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FECHAMENTO SETEMBRO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2024</v>
      </c>
      <c r="D4" s="1" t="inlineStr">
        <is>
          <t>ORÇADO 2025</t>
        </is>
      </c>
      <c r="E4" s="2" t="n">
        <v>2025</v>
      </c>
      <c r="G4" s="2" t="inlineStr">
        <is>
          <t>% 25 X ORÇ.</t>
        </is>
      </c>
      <c r="H4" s="2" t="inlineStr">
        <is>
          <t>% 24 x 25</t>
        </is>
      </c>
      <c r="J4" s="2" t="inlineStr">
        <is>
          <t>DIF 25 X ORÇ.</t>
        </is>
      </c>
      <c r="K4" s="2" t="inlineStr">
        <is>
          <t>DIF 24 X 25</t>
        </is>
      </c>
      <c r="M4" s="28" t="inlineStr">
        <is>
          <t>% PART. 24</t>
        </is>
      </c>
      <c r="N4" s="28" t="inlineStr">
        <is>
          <t>% PART. 25 ORÇ.</t>
        </is>
      </c>
      <c r="O4" s="28" t="inlineStr">
        <is>
          <t>% PART. 25</t>
        </is>
      </c>
      <c r="P4" s="28" t="inlineStr">
        <is>
          <t>p.p</t>
        </is>
      </c>
      <c r="Q4" s="28" t="inlineStr">
        <is>
          <t>% VAR</t>
        </is>
      </c>
    </row>
    <row r="5" ht="14.25" customHeight="1" s="113">
      <c r="B5" s="4" t="inlineStr">
        <is>
          <t>GUICHÊS PRÓPRIOS UTP</t>
        </is>
      </c>
      <c r="C5" s="29" t="n">
        <v>33036307.93</v>
      </c>
      <c r="D5" s="29" t="n">
        <v>26772803.6687679</v>
      </c>
      <c r="E5" s="30" t="n">
        <v>31299410.58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C5/C14</f>
        <v/>
      </c>
      <c r="N5" s="35">
        <f>D5/D14</f>
        <v/>
      </c>
      <c r="O5" s="35">
        <f>E5/E14</f>
        <v/>
      </c>
      <c r="P5" s="9">
        <f>O5-N5</f>
        <v/>
      </c>
      <c r="Q5" s="9">
        <f>O5-M5</f>
        <v/>
      </c>
    </row>
    <row r="6" ht="14.25" customHeight="1" s="113">
      <c r="B6" s="10" t="inlineStr">
        <is>
          <t>GUICHÊS TERCEIROS UTP</t>
        </is>
      </c>
      <c r="C6" s="36" t="n">
        <v>13904545.61</v>
      </c>
      <c r="D6" s="36" t="n">
        <v>10841631.34176151</v>
      </c>
      <c r="E6" s="37" t="n">
        <v>13336675.29</v>
      </c>
      <c r="G6" s="38">
        <f>E6/D6-1</f>
        <v/>
      </c>
      <c r="H6" s="39">
        <f>E6/C6-1</f>
        <v/>
      </c>
      <c r="J6" s="40">
        <f>E6-D6</f>
        <v/>
      </c>
      <c r="K6" s="41">
        <f>E6-C6</f>
        <v/>
      </c>
      <c r="M6" s="15">
        <f>C6/C14</f>
        <v/>
      </c>
      <c r="N6" s="42">
        <f>D6/D14</f>
        <v/>
      </c>
      <c r="O6" s="42">
        <f>E6/E14</f>
        <v/>
      </c>
      <c r="P6" s="15">
        <f>O6-N6</f>
        <v/>
      </c>
      <c r="Q6" s="15">
        <f>O6-M6</f>
        <v/>
      </c>
    </row>
    <row r="7" ht="14.25" customHeight="1" s="113">
      <c r="B7" s="16" t="inlineStr">
        <is>
          <t>SITES PRÓPRIOS UTP</t>
        </is>
      </c>
      <c r="C7" s="43" t="n">
        <v>32389471.8</v>
      </c>
      <c r="D7" s="43" t="n">
        <v>35356837.42264364</v>
      </c>
      <c r="E7" s="44" t="n">
        <v>29610895.82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9">
        <f>C7/C14</f>
        <v/>
      </c>
      <c r="N7" s="35">
        <f>D7/D14</f>
        <v/>
      </c>
      <c r="O7" s="35">
        <f>E7/E14</f>
        <v/>
      </c>
      <c r="P7" s="19">
        <f>O7-N7</f>
        <v/>
      </c>
      <c r="Q7" s="19">
        <f>O7-M7</f>
        <v/>
      </c>
    </row>
    <row r="8" ht="14.25" customHeight="1" s="113">
      <c r="B8" s="16" t="inlineStr">
        <is>
          <t>SITES TERCEIROS UTP</t>
        </is>
      </c>
      <c r="C8" s="43" t="n">
        <v>19749830.57</v>
      </c>
      <c r="D8" s="43" t="n">
        <v>25102385.00467087</v>
      </c>
      <c r="E8" s="44" t="n">
        <v>22748249.26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C8/C14</f>
        <v/>
      </c>
      <c r="N8" s="49">
        <f>D8/D14</f>
        <v/>
      </c>
      <c r="O8" s="49">
        <f>E8/E14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OUTLET DE PASSAGENS</t>
        </is>
      </c>
      <c r="C9" s="43" t="n">
        <v>1408856.93</v>
      </c>
      <c r="D9" s="43" t="n">
        <v>2372804.177688938</v>
      </c>
      <c r="E9" s="44" t="n">
        <v>1453482.34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C9/C14</f>
        <v/>
      </c>
      <c r="N9" s="49">
        <f>D9/D14</f>
        <v/>
      </c>
      <c r="O9" s="49">
        <f>E9/E14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CLUBE GIRO</t>
        </is>
      </c>
      <c r="C10" s="43" t="n">
        <v>3561439.92</v>
      </c>
      <c r="D10" s="43" t="n">
        <v>5180597.755931156</v>
      </c>
      <c r="E10" s="44" t="n">
        <v>3458572.43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C10/C14</f>
        <v/>
      </c>
      <c r="N10" s="49">
        <f>D10/D14</f>
        <v/>
      </c>
      <c r="O10" s="49">
        <f>E10/E14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WEMOBI</t>
        </is>
      </c>
      <c r="C11" s="43" t="n">
        <v>1337487.93</v>
      </c>
      <c r="D11" s="43" t="n">
        <v>2257744.797599572</v>
      </c>
      <c r="E11" s="44" t="n">
        <v>1393200.37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C11/C14</f>
        <v/>
      </c>
      <c r="N11" s="49">
        <f>D11/D14</f>
        <v/>
      </c>
      <c r="O11" s="49">
        <f>E11/E14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TOTEM</t>
        </is>
      </c>
      <c r="C12" s="43" t="n">
        <v>1611127.19</v>
      </c>
      <c r="D12" s="43" t="n">
        <v>3218257.441260085</v>
      </c>
      <c r="E12" s="44" t="n">
        <v>1615006.81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C12/C14</f>
        <v/>
      </c>
      <c r="N12" s="49">
        <f>D12/D14</f>
        <v/>
      </c>
      <c r="O12" s="49">
        <f>E12/E14</f>
        <v/>
      </c>
      <c r="P12" s="19">
        <f>O12-N12</f>
        <v/>
      </c>
      <c r="Q12" s="19">
        <f>O12-M12</f>
        <v/>
      </c>
    </row>
    <row r="13" ht="14.25" customHeight="1" s="113">
      <c r="B13" s="10" t="inlineStr">
        <is>
          <t>GIPSYY</t>
        </is>
      </c>
      <c r="C13" s="36" t="n">
        <v>29159.54</v>
      </c>
      <c r="D13" s="36" t="n">
        <v>88073.16967633436</v>
      </c>
      <c r="E13" s="37" t="n">
        <v>39419.35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5">
        <f>C13/C14</f>
        <v/>
      </c>
      <c r="N13" s="42">
        <f>D13/D14</f>
        <v/>
      </c>
      <c r="O13" s="42">
        <f>E13/E14</f>
        <v/>
      </c>
      <c r="P13" s="15">
        <f>O13-N13</f>
        <v/>
      </c>
      <c r="Q13" s="15">
        <f>O13-M13</f>
        <v/>
      </c>
    </row>
    <row r="14" ht="14.25" customHeight="1" s="113">
      <c r="B14" s="1" t="inlineStr">
        <is>
          <t>TOTAL</t>
        </is>
      </c>
      <c r="C14" s="50">
        <f>SUM(C5:C13)</f>
        <v/>
      </c>
      <c r="D14" s="50">
        <f>SUM(D5:D13)</f>
        <v/>
      </c>
      <c r="E14" s="51">
        <f>SUM(E5:E13)</f>
        <v/>
      </c>
      <c r="G14" s="52">
        <f>E14/D14-1</f>
        <v/>
      </c>
      <c r="H14" s="53">
        <f>E14/C14-1</f>
        <v/>
      </c>
      <c r="J14" s="54">
        <f>E14-D14</f>
        <v/>
      </c>
      <c r="K14" s="55">
        <f>E14-C14</f>
        <v/>
      </c>
    </row>
    <row r="15" ht="14.25" customHeight="1" s="113"/>
    <row r="16" ht="14.25" customHeight="1" s="113">
      <c r="B16" s="1" t="inlineStr">
        <is>
          <t>CANAIS</t>
        </is>
      </c>
      <c r="C16" s="1" t="n">
        <v>2024</v>
      </c>
      <c r="D16" s="1" t="inlineStr">
        <is>
          <t>ORÇADO 2025</t>
        </is>
      </c>
      <c r="E16" s="2" t="n">
        <v>2025</v>
      </c>
      <c r="G16" s="2" t="inlineStr">
        <is>
          <t>% 25 X ORÇ.</t>
        </is>
      </c>
      <c r="H16" s="2" t="inlineStr">
        <is>
          <t>% 24 x 25</t>
        </is>
      </c>
      <c r="J16" s="2" t="inlineStr">
        <is>
          <t>DIF 25 X ORÇ.</t>
        </is>
      </c>
      <c r="K16" s="2" t="inlineStr">
        <is>
          <t>DIF 24 X 25</t>
        </is>
      </c>
      <c r="M16" s="1" t="inlineStr">
        <is>
          <t>% PART. 24</t>
        </is>
      </c>
      <c r="N16" s="28" t="inlineStr">
        <is>
          <t>% PART. 25 ORÇ.</t>
        </is>
      </c>
      <c r="O16" s="1" t="inlineStr">
        <is>
          <t>% PART. 25</t>
        </is>
      </c>
      <c r="P16" s="28" t="inlineStr">
        <is>
          <t>p.p</t>
        </is>
      </c>
      <c r="Q16" s="3" t="inlineStr">
        <is>
          <t>% VAR</t>
        </is>
      </c>
    </row>
    <row r="17" ht="14.25" customHeight="1" s="113">
      <c r="B17" s="16" t="inlineStr">
        <is>
          <t>OFFLINE</t>
        </is>
      </c>
      <c r="C17" s="43">
        <f>C5+C6</f>
        <v/>
      </c>
      <c r="D17" s="43">
        <f>D5+D6</f>
        <v/>
      </c>
      <c r="E17" s="44">
        <f>E5+E6</f>
        <v/>
      </c>
      <c r="G17" s="45">
        <f>E17/D17-1</f>
        <v/>
      </c>
      <c r="H17" s="46">
        <f>E17/C17-1</f>
        <v/>
      </c>
      <c r="J17" s="47">
        <f>E17-D17</f>
        <v/>
      </c>
      <c r="K17" s="48">
        <f>E17-C17</f>
        <v/>
      </c>
      <c r="M17" s="9">
        <f>M5+M6</f>
        <v/>
      </c>
      <c r="N17" s="35">
        <f>D17/D19</f>
        <v/>
      </c>
      <c r="O17" s="35">
        <f>O5+O6</f>
        <v/>
      </c>
      <c r="P17" s="35">
        <f>O17-N17</f>
        <v/>
      </c>
      <c r="Q17" s="9">
        <f>O17-M17</f>
        <v/>
      </c>
    </row>
    <row r="18" ht="14.25" customHeight="1" s="113">
      <c r="B18" s="10" t="inlineStr">
        <is>
          <t>ONLINE</t>
        </is>
      </c>
      <c r="C18" s="36">
        <f>C7+C8+C9+C10+C11+C12+C13</f>
        <v/>
      </c>
      <c r="D18" s="36">
        <f>D7+D8+D9+D10+D11+D12+D13</f>
        <v/>
      </c>
      <c r="E18" s="37">
        <f>E7+E8+E9+E10+E11+E12+E13</f>
        <v/>
      </c>
      <c r="G18" s="45">
        <f>E18/D18-1</f>
        <v/>
      </c>
      <c r="H18" s="46">
        <f>E18/C18-1</f>
        <v/>
      </c>
      <c r="J18" s="47">
        <f>E18-D18</f>
        <v/>
      </c>
      <c r="K18" s="48">
        <f>E18-C18</f>
        <v/>
      </c>
      <c r="M18" s="15">
        <f>M7+M8+M9+M10+M11+M12+M13</f>
        <v/>
      </c>
      <c r="N18" s="42">
        <f>D18/D19</f>
        <v/>
      </c>
      <c r="O18" s="42">
        <f>O7+O8+O9+O10+O11+O12+O13</f>
        <v/>
      </c>
      <c r="P18" s="42">
        <f>O18-N18</f>
        <v/>
      </c>
      <c r="Q18" s="15">
        <f>O18-M18</f>
        <v/>
      </c>
    </row>
    <row r="19" ht="14.25" customHeight="1" s="113">
      <c r="B19" s="1" t="inlineStr">
        <is>
          <t>TOTAL</t>
        </is>
      </c>
      <c r="C19" s="56">
        <f>C17+C18</f>
        <v/>
      </c>
      <c r="D19" s="56">
        <f>D17+D18</f>
        <v/>
      </c>
      <c r="E19" s="56">
        <f>E17+E18</f>
        <v/>
      </c>
      <c r="G19" s="52">
        <f>E19/D19-1</f>
        <v/>
      </c>
      <c r="H19" s="53">
        <f>E19/C19-1</f>
        <v/>
      </c>
      <c r="J19" s="54">
        <f>E19-D19</f>
        <v/>
      </c>
      <c r="K19" s="55">
        <f>E19-C19</f>
        <v/>
      </c>
    </row>
    <row r="20" ht="14.25" customHeight="1" s="113"/>
    <row r="21" ht="14.25" customHeight="1" s="113"/>
    <row r="22" ht="14.25" customHeight="1" s="113"/>
    <row r="23" ht="14.25" customHeight="1" s="113"/>
    <row r="24" ht="14.25" customHeight="1" s="113"/>
    <row r="25" ht="14.25" customHeight="1" s="113"/>
    <row r="26" ht="14.25" customHeight="1" s="113">
      <c r="M26" s="57" t="n">
        <v>0.315</v>
      </c>
      <c r="N26" s="57" t="n"/>
    </row>
    <row r="27" ht="14.25" customHeight="1" s="113">
      <c r="M27" s="57" t="n">
        <v>0.1344</v>
      </c>
      <c r="N27" s="57" t="n"/>
    </row>
    <row r="28" ht="14.25" customHeight="1" s="113">
      <c r="M28" s="57" t="n">
        <v>0.2924079212238631</v>
      </c>
      <c r="N28" s="57" t="n"/>
    </row>
    <row r="29" ht="14.25" customHeight="1" s="113">
      <c r="M29" s="57" t="n">
        <v>0.1887</v>
      </c>
      <c r="N29" s="57" t="n"/>
    </row>
    <row r="30" ht="14.25" customHeight="1" s="113">
      <c r="M30" s="57" t="n">
        <v>0.0153</v>
      </c>
      <c r="N30" s="57" t="n"/>
    </row>
    <row r="31" ht="14.25" customHeight="1" s="113">
      <c r="M31" s="57" t="n">
        <v>0.025</v>
      </c>
      <c r="N31" s="57" t="n"/>
    </row>
    <row r="32" ht="14.25" customHeight="1" s="113">
      <c r="M32" s="57" t="n">
        <v>0.0113</v>
      </c>
      <c r="N32" s="57" t="n"/>
    </row>
    <row r="33" ht="14.25" customHeight="1" s="113">
      <c r="M33" s="57" t="n">
        <v>0.01875574007771713</v>
      </c>
      <c r="N33" s="57" t="n"/>
    </row>
    <row r="34" ht="14.25" customHeight="1" s="113">
      <c r="M34" s="57" t="n">
        <v>0.001</v>
      </c>
      <c r="N34" s="57" t="n"/>
    </row>
    <row r="35" ht="14.25" customHeight="1" s="113"/>
    <row r="36" ht="14.25" customHeight="1" s="113"/>
    <row r="37" ht="14.25" customHeight="1" s="113"/>
    <row r="38" ht="14.25" customHeight="1" s="113"/>
    <row r="39" ht="14.25" customHeight="1" s="113"/>
    <row r="40" ht="14.25" customHeight="1" s="113">
      <c r="E40" s="24" t="inlineStr">
        <is>
          <t>CAMPANHAS PARA HOJE: 29/07</t>
        </is>
      </c>
    </row>
    <row r="41" ht="14.25" customHeight="1" s="113">
      <c r="D41" s="24" t="inlineStr">
        <is>
          <t>28/07 A 29/07</t>
        </is>
      </c>
      <c r="E41" s="24" t="inlineStr">
        <is>
          <t>WEMOBI - ALERTA DE PROMO 40% VIAGENS: 09/08 A 31/10</t>
        </is>
      </c>
    </row>
    <row r="42" ht="14.25" customHeight="1" s="113">
      <c r="D42" s="24" t="inlineStr">
        <is>
          <t>28/07 A 29/07</t>
        </is>
      </c>
      <c r="E42" s="24" t="inlineStr">
        <is>
          <t>OUTLET - HORA CERTA 40% VIAGENS: 09/08 A 31/10</t>
        </is>
      </c>
    </row>
    <row r="43" ht="14.25" customHeight="1" s="113">
      <c r="D43" s="27" t="inlineStr">
        <is>
          <t>29/07 A 31/07</t>
        </is>
      </c>
      <c r="E43" s="24" t="inlineStr">
        <is>
          <t>UTP - ANIVERSÁRIO 1001 VIAGENS: 40% AGO, 50% SET &amp; OUT, 60% NOV &amp; DEZ</t>
        </is>
      </c>
    </row>
    <row r="44" ht="14.25" customHeight="1" s="113">
      <c r="D44" s="27" t="inlineStr">
        <is>
          <t>29/07</t>
        </is>
      </c>
      <c r="E44" s="24" t="inlineStr">
        <is>
          <t>GIRO: ANIVERSÁRIO 1001 40% VIAGENS: 06/08 A 31/10</t>
        </is>
      </c>
    </row>
    <row r="45" ht="14.25" customHeight="1" s="113"/>
    <row r="46" ht="14.25" customHeight="1" s="113">
      <c r="E46" s="24" t="inlineStr">
        <is>
          <t>PRÓXIMAS CAMPANHAS:</t>
        </is>
      </c>
    </row>
    <row r="47" ht="14.25" customHeight="1" s="113">
      <c r="D47" s="24" t="inlineStr">
        <is>
          <t>30/07 A 31/07</t>
        </is>
      </c>
      <c r="E47" s="24" t="inlineStr">
        <is>
          <t>ÚLTIMA HORA - 20% VIAGENS: 04/08 A 31/08</t>
        </is>
      </c>
    </row>
    <row r="48" ht="14.25" customHeight="1" s="113">
      <c r="M48" s="24" t="n">
        <v>31700355.44</v>
      </c>
    </row>
    <row r="49" ht="14.25" customHeight="1" s="113">
      <c r="M49" s="24" t="n">
        <v>2014958.14</v>
      </c>
    </row>
    <row r="50" ht="14.25" customHeight="1" s="113">
      <c r="M50" s="58">
        <f>M48+M49</f>
        <v/>
      </c>
      <c r="N50" s="58" t="n"/>
    </row>
    <row r="51" ht="14.25" customHeight="1" s="113"/>
    <row r="52" ht="14.25" customHeight="1" s="113"/>
    <row r="53" ht="14.25" customHeight="1" s="113"/>
    <row r="54" ht="14.25" customHeight="1" s="113"/>
    <row r="55" ht="14.25" customHeight="1" s="113"/>
    <row r="56" ht="14.25" customHeight="1" s="113"/>
    <row r="57" ht="14.25" customHeight="1" s="113"/>
    <row r="58" ht="14.25" customHeight="1" s="113"/>
    <row r="59" ht="14.25" customHeight="1" s="113"/>
    <row r="60" ht="14.25" customHeight="1" s="113"/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50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44140625" customWidth="1" style="113" min="1" max="1"/>
    <col width="21.44140625" customWidth="1" style="113" min="2" max="2"/>
    <col width="15.109375" customWidth="1" style="113" min="3" max="4"/>
    <col width="15.5546875" customWidth="1" style="113" min="5" max="5"/>
    <col width="1" customWidth="1" style="113" min="6" max="6"/>
    <col width="11" customWidth="1" style="113" min="7" max="7"/>
    <col width="9.5546875" customWidth="1" style="113" min="8" max="8"/>
    <col width="1.109375" customWidth="1" style="113" min="9" max="9"/>
    <col width="13.5546875" customWidth="1" style="113" min="10" max="10"/>
    <col width="12.88671875" customWidth="1" style="113" min="11" max="11"/>
    <col width="1" customWidth="1" style="113" min="12" max="12"/>
    <col width="10.44140625" customWidth="1" style="113" min="13" max="13"/>
    <col width="12.5546875" customWidth="1" style="113" min="14" max="14"/>
    <col width="10.33203125" customWidth="1" style="113" min="15" max="15"/>
    <col width="8.5546875" customWidth="1" style="113" min="16" max="16"/>
    <col width="9.554687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FECHAMENTO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2024</v>
      </c>
      <c r="D4" s="1" t="inlineStr">
        <is>
          <t>ORÇADO 2025</t>
        </is>
      </c>
      <c r="E4" s="2" t="n">
        <v>2025</v>
      </c>
      <c r="G4" s="2" t="inlineStr">
        <is>
          <t>% 25 X ORÇ.</t>
        </is>
      </c>
      <c r="H4" s="2" t="inlineStr">
        <is>
          <t>% 24 x 25</t>
        </is>
      </c>
      <c r="J4" s="2" t="inlineStr">
        <is>
          <t>DIF 25 X ORÇ.</t>
        </is>
      </c>
      <c r="K4" s="2" t="inlineStr">
        <is>
          <t>DIF 24 X 25</t>
        </is>
      </c>
      <c r="M4" s="59" t="inlineStr">
        <is>
          <t>% PART. 24</t>
        </is>
      </c>
      <c r="N4" s="59" t="inlineStr">
        <is>
          <t>% PART. 25 ORÇ.</t>
        </is>
      </c>
      <c r="O4" s="59" t="inlineStr">
        <is>
          <t>% PART. 25</t>
        </is>
      </c>
      <c r="P4" s="28" t="inlineStr">
        <is>
          <t>p.p 2025</t>
        </is>
      </c>
      <c r="Q4" s="28" t="inlineStr">
        <is>
          <t>p.p 24x25</t>
        </is>
      </c>
    </row>
    <row r="5" ht="14.25" customHeight="1" s="113">
      <c r="B5" s="4" t="inlineStr">
        <is>
          <t>GUICHÊS PRÓPRIOS UTP</t>
        </is>
      </c>
      <c r="C5" s="29" t="n">
        <v>33683786.29</v>
      </c>
      <c r="D5" s="29" t="n">
        <v>27184703.8331951</v>
      </c>
      <c r="E5" s="30" t="n">
        <v>33606805.6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C5/C14</f>
        <v/>
      </c>
      <c r="N5" s="35">
        <f>D5/D14</f>
        <v/>
      </c>
      <c r="O5" s="35">
        <f>E5/E14</f>
        <v/>
      </c>
      <c r="P5" s="9">
        <f>O5-N5</f>
        <v/>
      </c>
      <c r="Q5" s="9">
        <f>O5-M5</f>
        <v/>
      </c>
    </row>
    <row r="6" ht="14.25" customHeight="1" s="113">
      <c r="B6" s="10" t="inlineStr">
        <is>
          <t>GUICHÊS TERCEIROS UTP</t>
        </is>
      </c>
      <c r="C6" s="36" t="n">
        <v>14726741.34</v>
      </c>
      <c r="D6" s="36" t="n">
        <v>11008430.07481837</v>
      </c>
      <c r="E6" s="37" t="n">
        <v>14287417.02</v>
      </c>
      <c r="G6" s="38">
        <f>E6/D6-1</f>
        <v/>
      </c>
      <c r="H6" s="39">
        <f>E6/C6-1</f>
        <v/>
      </c>
      <c r="J6" s="40">
        <f>E6-D6</f>
        <v/>
      </c>
      <c r="K6" s="41">
        <f>E6-C6</f>
        <v/>
      </c>
      <c r="M6" s="15">
        <f>C6/C14</f>
        <v/>
      </c>
      <c r="N6" s="42">
        <f>D6/D14</f>
        <v/>
      </c>
      <c r="O6" s="42">
        <f>E6/E14</f>
        <v/>
      </c>
      <c r="P6" s="15">
        <f>O6-N6</f>
        <v/>
      </c>
      <c r="Q6" s="15">
        <f>O6-M6</f>
        <v/>
      </c>
    </row>
    <row r="7" ht="14.25" customHeight="1" s="113">
      <c r="B7" s="16" t="inlineStr">
        <is>
          <t>SITES PRÓPRIOS UTP</t>
        </is>
      </c>
      <c r="C7" s="43" t="n">
        <v>32385318.27</v>
      </c>
      <c r="D7" s="43" t="n">
        <v>36656556.02082822</v>
      </c>
      <c r="E7" s="44" t="n">
        <v>32744952.59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9">
        <f>C7/C14</f>
        <v/>
      </c>
      <c r="N7" s="35">
        <f>D7/D14</f>
        <v/>
      </c>
      <c r="O7" s="35">
        <f>E7/E14</f>
        <v/>
      </c>
      <c r="P7" s="19">
        <f>O7-N7</f>
        <v/>
      </c>
      <c r="Q7" s="19">
        <f>O7-M7</f>
        <v/>
      </c>
    </row>
    <row r="8" ht="14.25" customHeight="1" s="113">
      <c r="B8" s="16" t="inlineStr">
        <is>
          <t>SITES TERCEIROS UTP</t>
        </is>
      </c>
      <c r="C8" s="43" t="n">
        <v>21953338.92</v>
      </c>
      <c r="D8" s="43" t="n">
        <v>24871523.09446212</v>
      </c>
      <c r="E8" s="44" t="n">
        <v>25638473.09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C8/C14</f>
        <v/>
      </c>
      <c r="N8" s="49">
        <f>D8/D14</f>
        <v/>
      </c>
      <c r="O8" s="49">
        <f>E8/E14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OUTLET DE PASSAGENS</t>
        </is>
      </c>
      <c r="C9" s="43" t="n">
        <v>1505567.5</v>
      </c>
      <c r="D9" s="43" t="n">
        <v>2528813.276653887</v>
      </c>
      <c r="E9" s="44" t="n">
        <v>1304555.3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C9/C14</f>
        <v/>
      </c>
      <c r="N9" s="49">
        <f>D9/D14</f>
        <v/>
      </c>
      <c r="O9" s="49">
        <f>E9/E14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CLUBE GIRO</t>
        </is>
      </c>
      <c r="C10" s="43" t="n">
        <v>3221719.2</v>
      </c>
      <c r="D10" s="43" t="n">
        <v>4829920.705899537</v>
      </c>
      <c r="E10" s="44" t="n">
        <v>3366127.01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C10/C14</f>
        <v/>
      </c>
      <c r="N10" s="49">
        <f>D10/D14</f>
        <v/>
      </c>
      <c r="O10" s="49">
        <f>E10/E14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WEMOBI</t>
        </is>
      </c>
      <c r="C11" s="43" t="n">
        <v>1421531.39</v>
      </c>
      <c r="D11" s="43" t="n">
        <v>2411677.915522969</v>
      </c>
      <c r="E11" s="44" t="n">
        <v>1503424.64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C11/C14</f>
        <v/>
      </c>
      <c r="N11" s="49">
        <f>D11/D14</f>
        <v/>
      </c>
      <c r="O11" s="49">
        <f>E11/E14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TOTEM</t>
        </is>
      </c>
      <c r="C12" s="43" t="n">
        <v>1670089.41</v>
      </c>
      <c r="D12" s="43" t="n">
        <v>3615915.438203797</v>
      </c>
      <c r="E12" s="44" t="n">
        <v>1435353.72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C12/C14</f>
        <v/>
      </c>
      <c r="N12" s="49">
        <f>D12/D14</f>
        <v/>
      </c>
      <c r="O12" s="49">
        <f>E12/E14</f>
        <v/>
      </c>
      <c r="P12" s="19">
        <f>O12-N12</f>
        <v/>
      </c>
      <c r="Q12" s="19">
        <f>O12-M12</f>
        <v/>
      </c>
    </row>
    <row r="13" ht="14.25" customHeight="1" s="113">
      <c r="B13" s="10" t="inlineStr">
        <is>
          <t>GIPSYY</t>
        </is>
      </c>
      <c r="C13" s="36" t="n">
        <v>33781.93</v>
      </c>
      <c r="D13" s="36" t="n">
        <v>89781.90041599378</v>
      </c>
      <c r="E13" s="37" t="n">
        <v>40002.51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5">
        <f>C13/C14</f>
        <v/>
      </c>
      <c r="N13" s="42">
        <f>D13/D14</f>
        <v/>
      </c>
      <c r="O13" s="42">
        <f>E13/E14</f>
        <v/>
      </c>
      <c r="P13" s="15">
        <f>O13-N13</f>
        <v/>
      </c>
      <c r="Q13" s="15">
        <f>O13-M13</f>
        <v/>
      </c>
    </row>
    <row r="14" ht="14.25" customHeight="1" s="113">
      <c r="B14" s="1" t="inlineStr">
        <is>
          <t>TOTAL</t>
        </is>
      </c>
      <c r="C14" s="50">
        <f>SUM(C5:C13)</f>
        <v/>
      </c>
      <c r="D14" s="50">
        <f>SUM(D5:D13)</f>
        <v/>
      </c>
      <c r="E14" s="51">
        <f>SUM(E5:E13)</f>
        <v/>
      </c>
      <c r="G14" s="52">
        <f>E14/D14-1</f>
        <v/>
      </c>
      <c r="H14" s="53">
        <f>E14/C14-1</f>
        <v/>
      </c>
      <c r="J14" s="54">
        <f>E14-D14</f>
        <v/>
      </c>
      <c r="K14" s="55">
        <f>E14-C14</f>
        <v/>
      </c>
    </row>
    <row r="15" ht="14.25" customHeight="1" s="113"/>
    <row r="16" ht="14.25" customHeight="1" s="113">
      <c r="B16" s="1" t="inlineStr">
        <is>
          <t>CANAIS</t>
        </is>
      </c>
      <c r="C16" s="1" t="n">
        <v>2024</v>
      </c>
      <c r="D16" s="1" t="inlineStr">
        <is>
          <t>ORÇADO 2025</t>
        </is>
      </c>
      <c r="E16" s="2" t="n">
        <v>2025</v>
      </c>
      <c r="G16" s="2" t="inlineStr">
        <is>
          <t>% 25 X ORÇ.</t>
        </is>
      </c>
      <c r="H16" s="2" t="inlineStr">
        <is>
          <t>% 24 x 25</t>
        </is>
      </c>
      <c r="J16" s="2" t="inlineStr">
        <is>
          <t>DIF 25 X ORÇ.</t>
        </is>
      </c>
      <c r="K16" s="2" t="inlineStr">
        <is>
          <t>DIF 24 X 25</t>
        </is>
      </c>
      <c r="M16" s="1" t="inlineStr">
        <is>
          <t>% PART. 24</t>
        </is>
      </c>
      <c r="N16" s="28" t="inlineStr">
        <is>
          <t>% PART. 25 ORÇ.</t>
        </is>
      </c>
      <c r="O16" s="1" t="inlineStr">
        <is>
          <t>% PART. 25</t>
        </is>
      </c>
      <c r="P16" s="28" t="inlineStr">
        <is>
          <t>p.p 2025</t>
        </is>
      </c>
      <c r="Q16" s="3" t="inlineStr">
        <is>
          <t>p.p 24x25</t>
        </is>
      </c>
    </row>
    <row r="17" ht="14.25" customHeight="1" s="113">
      <c r="B17" s="16" t="inlineStr">
        <is>
          <t>OFFLINE</t>
        </is>
      </c>
      <c r="C17" s="43">
        <f>C5+C6</f>
        <v/>
      </c>
      <c r="D17" s="43">
        <f>D5+D6</f>
        <v/>
      </c>
      <c r="E17" s="44">
        <f>E5+E6</f>
        <v/>
      </c>
      <c r="G17" s="45">
        <f>E17/D17-1</f>
        <v/>
      </c>
      <c r="H17" s="46">
        <f>E17/C17-1</f>
        <v/>
      </c>
      <c r="J17" s="47">
        <f>E17-D17</f>
        <v/>
      </c>
      <c r="K17" s="48">
        <f>E17-C17</f>
        <v/>
      </c>
      <c r="M17" s="9">
        <f>M5+M6</f>
        <v/>
      </c>
      <c r="N17" s="35">
        <f>D17/D19</f>
        <v/>
      </c>
      <c r="O17" s="35">
        <f>O5+O6</f>
        <v/>
      </c>
      <c r="P17" s="35">
        <f>O17-N17</f>
        <v/>
      </c>
      <c r="Q17" s="9">
        <f>O17-M17</f>
        <v/>
      </c>
    </row>
    <row r="18" ht="14.25" customHeight="1" s="113">
      <c r="B18" s="10" t="inlineStr">
        <is>
          <t>ONLINE</t>
        </is>
      </c>
      <c r="C18" s="36">
        <f>C7+C8+C9+C10+C11+C12+C13</f>
        <v/>
      </c>
      <c r="D18" s="36">
        <f>D7+D8+D9+D10+D11+D12+D13</f>
        <v/>
      </c>
      <c r="E18" s="37">
        <f>E7+E8+E9+E10+E11+E12+E13</f>
        <v/>
      </c>
      <c r="G18" s="45">
        <f>E18/D18-1</f>
        <v/>
      </c>
      <c r="H18" s="46">
        <f>E18/C18-1</f>
        <v/>
      </c>
      <c r="J18" s="47">
        <f>E18-D18</f>
        <v/>
      </c>
      <c r="K18" s="48">
        <f>E18-C18</f>
        <v/>
      </c>
      <c r="M18" s="15">
        <f>M7+M8+M9+M10+M11+M12+M13</f>
        <v/>
      </c>
      <c r="N18" s="42">
        <f>D18/D19</f>
        <v/>
      </c>
      <c r="O18" s="42">
        <f>O7+O8+O9+O10+O11+O12+O13</f>
        <v/>
      </c>
      <c r="P18" s="42">
        <f>O18-N18</f>
        <v/>
      </c>
      <c r="Q18" s="15">
        <f>O18-M18</f>
        <v/>
      </c>
    </row>
    <row r="19" ht="14.25" customHeight="1" s="113">
      <c r="B19" s="1" t="inlineStr">
        <is>
          <t>TOTAL</t>
        </is>
      </c>
      <c r="C19" s="56">
        <f>C17+C18</f>
        <v/>
      </c>
      <c r="D19" s="56">
        <f>D17+D18</f>
        <v/>
      </c>
      <c r="E19" s="56">
        <f>E17+E18</f>
        <v/>
      </c>
      <c r="G19" s="52">
        <f>E19/D19-1</f>
        <v/>
      </c>
      <c r="H19" s="53">
        <f>E19/C19-1</f>
        <v/>
      </c>
      <c r="J19" s="54">
        <f>E19-D19</f>
        <v/>
      </c>
      <c r="K19" s="55">
        <f>E19-C19</f>
        <v/>
      </c>
    </row>
    <row r="20" ht="14.25" customHeight="1" s="113"/>
    <row r="21" ht="14.25" customHeight="1" s="113"/>
    <row r="22" ht="14.25" customHeight="1" s="113"/>
    <row r="23" ht="14.25" customHeight="1" s="113"/>
    <row r="24" ht="14.25" customHeight="1" s="113"/>
    <row r="25" ht="14.25" customHeight="1" s="113"/>
    <row r="26" ht="14.25" customHeight="1" s="113">
      <c r="M26" s="57" t="n">
        <v>0.315</v>
      </c>
      <c r="N26" s="57" t="n"/>
    </row>
    <row r="27" ht="14.25" customHeight="1" s="113">
      <c r="M27" s="57" t="n">
        <v>0.1344</v>
      </c>
      <c r="N27" s="57" t="n"/>
    </row>
    <row r="28" ht="14.25" customHeight="1" s="113">
      <c r="M28" s="57" t="n">
        <v>0.2924079212238631</v>
      </c>
      <c r="N28" s="57" t="n"/>
    </row>
    <row r="29" ht="14.25" customHeight="1" s="113">
      <c r="M29" s="57" t="n">
        <v>0.1887</v>
      </c>
      <c r="N29" s="57" t="n"/>
    </row>
    <row r="30" ht="14.25" customHeight="1" s="113">
      <c r="M30" s="57" t="n">
        <v>0.0153</v>
      </c>
      <c r="N30" s="57" t="n"/>
    </row>
    <row r="31" ht="14.25" customHeight="1" s="113">
      <c r="M31" s="57" t="n">
        <v>0.025</v>
      </c>
      <c r="N31" s="57" t="n"/>
    </row>
    <row r="32" ht="14.25" customHeight="1" s="113">
      <c r="M32" s="57" t="n">
        <v>0.0113</v>
      </c>
      <c r="N32" s="57" t="n"/>
    </row>
    <row r="33" ht="14.25" customHeight="1" s="113">
      <c r="M33" s="57" t="n">
        <v>0.01875574007771713</v>
      </c>
      <c r="N33" s="57" t="n"/>
    </row>
    <row r="34" ht="14.25" customHeight="1" s="113">
      <c r="M34" s="57" t="n">
        <v>0.001</v>
      </c>
      <c r="N34" s="57" t="n"/>
    </row>
    <row r="35" ht="14.25" customHeight="1" s="113"/>
    <row r="36" ht="14.25" customHeight="1" s="113"/>
    <row r="37" ht="14.25" customHeight="1" s="113"/>
    <row r="38" ht="14.25" customHeight="1" s="113"/>
    <row r="39" ht="14.25" customHeight="1" s="113"/>
    <row r="40" ht="14.25" customHeight="1" s="113">
      <c r="E40" s="24" t="inlineStr">
        <is>
          <t>CAMPANHAS PARA HOJE: 29/07</t>
        </is>
      </c>
    </row>
    <row r="41" ht="14.25" customHeight="1" s="113">
      <c r="D41" s="24" t="inlineStr">
        <is>
          <t>28/07 A 29/07</t>
        </is>
      </c>
      <c r="E41" s="24" t="inlineStr">
        <is>
          <t>WEMOBI - ALERTA DE PROMO 40% VIAGENS: 09/08 A 31/10</t>
        </is>
      </c>
    </row>
    <row r="42" ht="14.25" customHeight="1" s="113">
      <c r="D42" s="24" t="inlineStr">
        <is>
          <t>28/07 A 29/07</t>
        </is>
      </c>
      <c r="E42" s="24" t="inlineStr">
        <is>
          <t>OUTLET - HORA CERTA 40% VIAGENS: 09/08 A 31/10</t>
        </is>
      </c>
    </row>
    <row r="43" ht="14.25" customHeight="1" s="113">
      <c r="D43" s="27" t="inlineStr">
        <is>
          <t>29/07 A 31/07</t>
        </is>
      </c>
      <c r="E43" s="24" t="inlineStr">
        <is>
          <t>UTP - ANIVERSÁRIO 1001 VIAGENS: 40% AGO, 50% SET &amp; OUT, 60% NOV &amp; DEZ</t>
        </is>
      </c>
    </row>
    <row r="44" ht="14.25" customHeight="1" s="113">
      <c r="D44" s="27" t="inlineStr">
        <is>
          <t>29/07</t>
        </is>
      </c>
      <c r="E44" s="24" t="inlineStr">
        <is>
          <t>GIRO: ANIVERSÁRIO 1001 40% VIAGENS: 06/08 A 31/10</t>
        </is>
      </c>
    </row>
    <row r="45" ht="14.25" customHeight="1" s="113"/>
    <row r="46" ht="14.25" customHeight="1" s="113">
      <c r="E46" s="24" t="inlineStr">
        <is>
          <t>PRÓXIMAS CAMPANHAS:</t>
        </is>
      </c>
    </row>
    <row r="47" ht="14.25" customHeight="1" s="113">
      <c r="D47" s="24" t="inlineStr">
        <is>
          <t>30/07 A 31/07</t>
        </is>
      </c>
      <c r="E47" s="24" t="inlineStr">
        <is>
          <t>ÚLTIMA HORA - 20% VIAGENS: 04/08 A 31/08</t>
        </is>
      </c>
    </row>
    <row r="48" ht="14.25" customHeight="1" s="113">
      <c r="M48" s="24" t="n">
        <v>31700355.44</v>
      </c>
    </row>
    <row r="49" ht="14.25" customHeight="1" s="113">
      <c r="M49" s="24" t="n">
        <v>2014958.14</v>
      </c>
    </row>
    <row r="50" ht="14.25" customHeight="1" s="113">
      <c r="M50" s="58">
        <f>M48+M49</f>
        <v/>
      </c>
      <c r="N50" s="58" t="n"/>
    </row>
    <row r="51" ht="14.25" customHeight="1" s="113"/>
    <row r="52" ht="14.25" customHeight="1" s="113"/>
    <row r="53" ht="14.25" customHeight="1" s="113"/>
    <row r="54" ht="14.25" customHeight="1" s="113"/>
    <row r="55" ht="14.25" customHeight="1" s="113"/>
    <row r="56" ht="14.25" customHeight="1" s="113"/>
    <row r="57" ht="14.25" customHeight="1" s="113"/>
    <row r="58" ht="14.25" customHeight="1" s="113"/>
    <row r="59" ht="14.25" customHeight="1" s="113"/>
    <row r="60" ht="14.25" customHeight="1" s="113"/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54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88671875" customWidth="1" style="113" min="1" max="1"/>
    <col width="21.6640625" customWidth="1" style="113" min="2" max="2"/>
    <col width="15.109375" customWidth="1" style="113" min="3" max="5"/>
    <col width="1" customWidth="1" style="113" min="6" max="6"/>
    <col width="13.44140625" customWidth="1" style="113" min="7" max="7"/>
    <col width="10.6640625" customWidth="1" style="113" min="8" max="8"/>
    <col width="0.5546875" customWidth="1" style="113" min="9" max="9"/>
    <col width="14.6640625" customWidth="1" style="113" min="10" max="10"/>
    <col width="14.33203125" customWidth="1" style="113" min="11" max="11"/>
    <col width="0.5546875" customWidth="1" style="113" min="12" max="12"/>
    <col width="11.33203125" customWidth="1" style="113" min="13" max="13"/>
    <col width="11" customWidth="1" style="113" min="14" max="14"/>
    <col width="10" customWidth="1" style="113" min="15" max="15"/>
    <col width="8.44140625" customWidth="1" style="113" min="16" max="16"/>
    <col width="9.441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FECHAMENTO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2024</v>
      </c>
      <c r="D4" s="1" t="inlineStr">
        <is>
          <t>ORÇADO 2025</t>
        </is>
      </c>
      <c r="E4" s="2" t="n">
        <v>2025</v>
      </c>
      <c r="G4" s="2" t="inlineStr">
        <is>
          <t>% 25 X ORÇ.</t>
        </is>
      </c>
      <c r="H4" s="2" t="inlineStr">
        <is>
          <t>% 24 x 25</t>
        </is>
      </c>
      <c r="J4" s="2" t="inlineStr">
        <is>
          <t>DIF 25 X ORÇ.</t>
        </is>
      </c>
      <c r="K4" s="2" t="inlineStr">
        <is>
          <t>DIF 24 X 25</t>
        </is>
      </c>
      <c r="M4" s="28" t="inlineStr">
        <is>
          <t>% PART. 24</t>
        </is>
      </c>
      <c r="N4" s="28" t="inlineStr">
        <is>
          <t>% PART. 25 ORÇ.</t>
        </is>
      </c>
      <c r="O4" s="28" t="inlineStr">
        <is>
          <t>% PART. 25</t>
        </is>
      </c>
      <c r="P4" s="28" t="inlineStr">
        <is>
          <t>p.p 2025</t>
        </is>
      </c>
      <c r="Q4" s="28" t="inlineStr">
        <is>
          <t>p.p 24x25</t>
        </is>
      </c>
    </row>
    <row r="5" ht="14.25" customHeight="1" s="113">
      <c r="B5" s="4" t="inlineStr">
        <is>
          <t>GUICHÊS PRÓPRIOS UTP</t>
        </is>
      </c>
      <c r="C5" s="29" t="n">
        <v>36001825.63</v>
      </c>
      <c r="D5" s="29" t="n">
        <v>29158207.42990915</v>
      </c>
      <c r="E5" s="30" t="n">
        <v>34604125.28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C5/C14</f>
        <v/>
      </c>
      <c r="N5" s="35">
        <f>D5/D14</f>
        <v/>
      </c>
      <c r="O5" s="35">
        <f>E5/E14</f>
        <v/>
      </c>
      <c r="P5" s="9">
        <f>O5-N5</f>
        <v/>
      </c>
      <c r="Q5" s="9">
        <f>O5-M5</f>
        <v/>
      </c>
    </row>
    <row r="6" ht="14.25" customHeight="1" s="113">
      <c r="B6" s="10" t="inlineStr">
        <is>
          <t>GUICHÊS TERCEIROS UTP</t>
        </is>
      </c>
      <c r="C6" s="36" t="n">
        <v>14980956.19</v>
      </c>
      <c r="D6" s="36" t="n">
        <v>11807599.21346835</v>
      </c>
      <c r="E6" s="37" t="n">
        <v>14856258.54</v>
      </c>
      <c r="G6" s="38">
        <f>E6/D6-1</f>
        <v/>
      </c>
      <c r="H6" s="39">
        <f>E6/C6-1</f>
        <v/>
      </c>
      <c r="J6" s="40">
        <f>E6-D6</f>
        <v/>
      </c>
      <c r="K6" s="41">
        <f>E6-C6</f>
        <v/>
      </c>
      <c r="M6" s="15">
        <f>C6/C14</f>
        <v/>
      </c>
      <c r="N6" s="42">
        <f>D6/D14</f>
        <v/>
      </c>
      <c r="O6" s="42">
        <f>E6/E14</f>
        <v/>
      </c>
      <c r="P6" s="15">
        <f>O6-N6</f>
        <v/>
      </c>
      <c r="Q6" s="15">
        <f>O6-M6</f>
        <v/>
      </c>
    </row>
    <row r="7" ht="14.25" customHeight="1" s="113">
      <c r="B7" s="16" t="inlineStr">
        <is>
          <t>SITES PRÓPRIOS UTP</t>
        </is>
      </c>
      <c r="C7" s="43" t="n">
        <v>35727381.19</v>
      </c>
      <c r="D7" s="43" t="n">
        <v>43081390.2101682</v>
      </c>
      <c r="E7" s="44" t="n">
        <v>34042532.35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9">
        <f>C7/C14</f>
        <v/>
      </c>
      <c r="N7" s="35">
        <f>D7/D14</f>
        <v/>
      </c>
      <c r="O7" s="35">
        <f>E7/E14</f>
        <v/>
      </c>
      <c r="P7" s="19">
        <f>O7-N7</f>
        <v/>
      </c>
      <c r="Q7" s="19">
        <f>O7-M7</f>
        <v/>
      </c>
    </row>
    <row r="8" ht="14.25" customHeight="1" s="113">
      <c r="B8" s="16" t="inlineStr">
        <is>
          <t>SITES TERCEIROS UTP</t>
        </is>
      </c>
      <c r="C8" s="43" t="n">
        <v>27168229.23</v>
      </c>
      <c r="D8" s="43" t="n">
        <v>28656409.61194454</v>
      </c>
      <c r="E8" s="44" t="n">
        <v>27741630.2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C8/C14</f>
        <v/>
      </c>
      <c r="N8" s="49">
        <f>D8/D14</f>
        <v/>
      </c>
      <c r="O8" s="49">
        <f>E8/E14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OUTLET DE PASSAGENS</t>
        </is>
      </c>
      <c r="C9" s="43" t="n">
        <v>1781246.62</v>
      </c>
      <c r="D9" s="43" t="n">
        <v>3000028.081400833</v>
      </c>
      <c r="E9" s="44" t="n">
        <v>2205796.3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C9/C14</f>
        <v/>
      </c>
      <c r="N9" s="49">
        <f>D9/D14</f>
        <v/>
      </c>
      <c r="O9" s="49">
        <f>E9/E14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CLUBE GIRO</t>
        </is>
      </c>
      <c r="C10" s="43" t="n">
        <v>3852278.93</v>
      </c>
      <c r="D10" s="43" t="n">
        <v>5369637.806719972</v>
      </c>
      <c r="E10" s="44" t="n">
        <v>3809985.11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C10/C14</f>
        <v/>
      </c>
      <c r="N10" s="49">
        <f>D10/D14</f>
        <v/>
      </c>
      <c r="O10" s="49">
        <f>E10/E14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WEMOBI</t>
        </is>
      </c>
      <c r="C11" s="43" t="n">
        <v>1382912.64</v>
      </c>
      <c r="D11" s="43" t="n">
        <v>2867019.768390188</v>
      </c>
      <c r="E11" s="44" t="n">
        <v>2261342.49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C11/C14</f>
        <v/>
      </c>
      <c r="N11" s="49">
        <f>D11/D14</f>
        <v/>
      </c>
      <c r="O11" s="49">
        <f>E11/E14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TOTEM</t>
        </is>
      </c>
      <c r="C12" s="43" t="n">
        <v>1860187.83</v>
      </c>
      <c r="D12" s="43" t="n">
        <v>4491516.156679546</v>
      </c>
      <c r="E12" s="44" t="n">
        <v>1437304.19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C12/C14</f>
        <v/>
      </c>
      <c r="N12" s="49">
        <f>D12/D14</f>
        <v/>
      </c>
      <c r="O12" s="49">
        <f>E12/E14</f>
        <v/>
      </c>
      <c r="P12" s="19">
        <f>O12-N12</f>
        <v/>
      </c>
      <c r="Q12" s="19">
        <f>O12-M12</f>
        <v/>
      </c>
    </row>
    <row r="13" ht="14.25" customHeight="1" s="113">
      <c r="B13" s="10" t="inlineStr">
        <is>
          <t>GIPSYY</t>
        </is>
      </c>
      <c r="C13" s="36" t="n">
        <v>29627.71</v>
      </c>
      <c r="D13" s="36" t="n">
        <v>104824.261319236</v>
      </c>
      <c r="E13" s="37" t="n">
        <v>50284.12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5">
        <f>C13/C14</f>
        <v/>
      </c>
      <c r="N13" s="42">
        <f>D13/D14</f>
        <v/>
      </c>
      <c r="O13" s="42">
        <f>E13/E14</f>
        <v/>
      </c>
      <c r="P13" s="15">
        <f>O13-N13</f>
        <v/>
      </c>
      <c r="Q13" s="15">
        <f>O13-M13</f>
        <v/>
      </c>
    </row>
    <row r="14" ht="14.25" customHeight="1" s="113">
      <c r="B14" s="1" t="inlineStr">
        <is>
          <t>TOTAL</t>
        </is>
      </c>
      <c r="C14" s="50">
        <f>SUM(C5:C13)</f>
        <v/>
      </c>
      <c r="D14" s="50">
        <f>SUM(D5:D13)</f>
        <v/>
      </c>
      <c r="E14" s="51">
        <f>SUM(E5:E13)</f>
        <v/>
      </c>
      <c r="G14" s="52">
        <f>E14/D14-1</f>
        <v/>
      </c>
      <c r="H14" s="53">
        <f>E14/C14-1</f>
        <v/>
      </c>
      <c r="J14" s="54">
        <f>E14-D14</f>
        <v/>
      </c>
      <c r="K14" s="55">
        <f>E14-C14</f>
        <v/>
      </c>
    </row>
    <row r="15" ht="14.25" customHeight="1" s="113"/>
    <row r="16" ht="14.25" customHeight="1" s="113">
      <c r="B16" s="1" t="inlineStr">
        <is>
          <t>CANAIS</t>
        </is>
      </c>
      <c r="C16" s="1" t="n">
        <v>2024</v>
      </c>
      <c r="D16" s="1" t="inlineStr">
        <is>
          <t>ORÇADO 2025</t>
        </is>
      </c>
      <c r="E16" s="2" t="n">
        <v>2025</v>
      </c>
      <c r="G16" s="2" t="inlineStr">
        <is>
          <t>% 25 X ORÇ.</t>
        </is>
      </c>
      <c r="H16" s="2" t="inlineStr">
        <is>
          <t>% 24 x 25</t>
        </is>
      </c>
      <c r="J16" s="2" t="inlineStr">
        <is>
          <t>DIF 25 X ORÇ.</t>
        </is>
      </c>
      <c r="K16" s="2" t="inlineStr">
        <is>
          <t>DIF 24 X 25</t>
        </is>
      </c>
      <c r="M16" s="1" t="inlineStr">
        <is>
          <t>% PART. 24</t>
        </is>
      </c>
      <c r="N16" s="28" t="inlineStr">
        <is>
          <t>% PART. 25 ORÇ.</t>
        </is>
      </c>
      <c r="O16" s="1" t="inlineStr">
        <is>
          <t>% PART. 25</t>
        </is>
      </c>
      <c r="P16" s="28" t="inlineStr">
        <is>
          <t>p.p 2025</t>
        </is>
      </c>
      <c r="Q16" s="3" t="inlineStr">
        <is>
          <t>% VAR</t>
        </is>
      </c>
    </row>
    <row r="17" ht="14.25" customHeight="1" s="113">
      <c r="B17" s="16" t="inlineStr">
        <is>
          <t>OFFLINE</t>
        </is>
      </c>
      <c r="C17" s="43">
        <f>C5+C6</f>
        <v/>
      </c>
      <c r="D17" s="43">
        <f>D5+D6</f>
        <v/>
      </c>
      <c r="E17" s="44">
        <f>E5+E6</f>
        <v/>
      </c>
      <c r="G17" s="45">
        <f>E17/D17-1</f>
        <v/>
      </c>
      <c r="H17" s="46">
        <f>E17/C17-1</f>
        <v/>
      </c>
      <c r="J17" s="47">
        <f>E17-D17</f>
        <v/>
      </c>
      <c r="K17" s="48">
        <f>E17-C17</f>
        <v/>
      </c>
      <c r="M17" s="9">
        <f>M5+M6</f>
        <v/>
      </c>
      <c r="N17" s="35">
        <f>D17/D19</f>
        <v/>
      </c>
      <c r="O17" s="35">
        <f>O5+O6</f>
        <v/>
      </c>
      <c r="P17" s="35">
        <f>O17-N17</f>
        <v/>
      </c>
      <c r="Q17" s="9">
        <f>O17-M17</f>
        <v/>
      </c>
    </row>
    <row r="18" ht="14.25" customHeight="1" s="113">
      <c r="B18" s="10" t="inlineStr">
        <is>
          <t>ONLINE</t>
        </is>
      </c>
      <c r="C18" s="36">
        <f>C7+C8+C9+C10+C11+C12+C13</f>
        <v/>
      </c>
      <c r="D18" s="36">
        <f>D7+D8+D9+D10+D11+D12+D13</f>
        <v/>
      </c>
      <c r="E18" s="37">
        <f>E7+E8+E9+E10+E11+E12+E13</f>
        <v/>
      </c>
      <c r="G18" s="45">
        <f>E18/D18-1</f>
        <v/>
      </c>
      <c r="H18" s="46">
        <f>E18/C18-1</f>
        <v/>
      </c>
      <c r="J18" s="47">
        <f>E18-D18</f>
        <v/>
      </c>
      <c r="K18" s="48">
        <f>E18-C18</f>
        <v/>
      </c>
      <c r="M18" s="15">
        <f>M7+M8+M9+M10+M11+M12+M13</f>
        <v/>
      </c>
      <c r="N18" s="42">
        <f>D18/D19</f>
        <v/>
      </c>
      <c r="O18" s="42">
        <f>O7+O8+O9+O10+O11+O12+O13</f>
        <v/>
      </c>
      <c r="P18" s="42">
        <f>O18-N18</f>
        <v/>
      </c>
      <c r="Q18" s="15">
        <f>O18-M18</f>
        <v/>
      </c>
    </row>
    <row r="19" ht="14.25" customHeight="1" s="113">
      <c r="B19" s="1" t="inlineStr">
        <is>
          <t>TOTAL</t>
        </is>
      </c>
      <c r="C19" s="56">
        <f>C17+C18</f>
        <v/>
      </c>
      <c r="D19" s="56">
        <f>D17+D18</f>
        <v/>
      </c>
      <c r="E19" s="56">
        <f>E17+E18</f>
        <v/>
      </c>
      <c r="G19" s="52">
        <f>E19/D19-1</f>
        <v/>
      </c>
      <c r="H19" s="53">
        <f>E19/C19-1</f>
        <v/>
      </c>
      <c r="J19" s="54">
        <f>E19-D19</f>
        <v/>
      </c>
      <c r="K19" s="55">
        <f>E19-C19</f>
        <v/>
      </c>
    </row>
    <row r="20" ht="14.25" customHeight="1" s="113"/>
    <row r="21" ht="14.25" customHeight="1" s="113"/>
    <row r="22" ht="14.25" customHeight="1" s="113">
      <c r="B22" s="1" t="inlineStr">
        <is>
          <t>CANAIS</t>
        </is>
      </c>
      <c r="C22" s="1" t="inlineStr">
        <is>
          <t>TM 2024</t>
        </is>
      </c>
      <c r="D22" s="2" t="inlineStr">
        <is>
          <t>TM 2025</t>
        </is>
      </c>
      <c r="E22" s="2" t="inlineStr">
        <is>
          <t>% 24 x 25</t>
        </is>
      </c>
      <c r="G22" s="3" t="inlineStr">
        <is>
          <t>DIF 24 X 25</t>
        </is>
      </c>
      <c r="H22" s="60" t="n"/>
      <c r="J22" s="60" t="n"/>
      <c r="K22" s="60" t="n"/>
    </row>
    <row r="23" ht="14.25" customHeight="1" s="113">
      <c r="B23" s="4" t="inlineStr">
        <is>
          <t>GUICHÊS PRÓPRIOS UTP</t>
        </is>
      </c>
      <c r="C23" s="61" t="n">
        <v>59.42</v>
      </c>
      <c r="D23" s="62" t="n">
        <v>60.77</v>
      </c>
      <c r="E23" s="32">
        <f>D23/C23-1</f>
        <v/>
      </c>
      <c r="G23" s="63">
        <f>D23-C23</f>
        <v/>
      </c>
      <c r="H23" s="64" t="n"/>
      <c r="J23" s="64" t="n"/>
      <c r="K23" s="64" t="n"/>
    </row>
    <row r="24" ht="14.25" customHeight="1" s="113">
      <c r="B24" s="10" t="inlineStr">
        <is>
          <t>GUICHÊS TERCEIROS UTP</t>
        </is>
      </c>
      <c r="C24" s="65" t="n">
        <v>69.02</v>
      </c>
      <c r="D24" s="66" t="n">
        <v>76.54000000000001</v>
      </c>
      <c r="E24" s="39">
        <f>D24/C24-1</f>
        <v/>
      </c>
      <c r="G24" s="67">
        <f>D24-C24</f>
        <v/>
      </c>
      <c r="H24" s="64" t="n"/>
      <c r="J24" s="64" t="n"/>
      <c r="K24" s="64" t="n"/>
    </row>
    <row r="25" ht="14.25" customHeight="1" s="113">
      <c r="B25" s="16" t="inlineStr">
        <is>
          <t>SITES PRÓPRIOS UTP</t>
        </is>
      </c>
      <c r="C25" s="68" t="n">
        <v>93.25</v>
      </c>
      <c r="D25" s="69" t="n">
        <v>89.78</v>
      </c>
      <c r="E25" s="46">
        <f>D25/C25-1</f>
        <v/>
      </c>
      <c r="G25" s="70">
        <f>D25-C25</f>
        <v/>
      </c>
      <c r="H25" s="64" t="n"/>
      <c r="J25" s="64" t="n"/>
      <c r="K25" s="64" t="n"/>
    </row>
    <row r="26" ht="14.25" customHeight="1" s="113">
      <c r="B26" s="16" t="inlineStr">
        <is>
          <t>SITES TERCEIROS UTP</t>
        </is>
      </c>
      <c r="C26" s="68" t="n">
        <v>103.27</v>
      </c>
      <c r="D26" s="69" t="n">
        <v>98</v>
      </c>
      <c r="E26" s="46">
        <f>D26/C26-1</f>
        <v/>
      </c>
      <c r="G26" s="70">
        <f>D26-C26</f>
        <v/>
      </c>
      <c r="H26" s="64" t="n"/>
      <c r="J26" s="64" t="n"/>
      <c r="K26" s="64" t="n"/>
    </row>
    <row r="27" ht="14.25" customHeight="1" s="113">
      <c r="B27" s="16" t="inlineStr">
        <is>
          <t>OUTLET DE PASSAGENS</t>
        </is>
      </c>
      <c r="C27" s="68" t="n">
        <v>60.36</v>
      </c>
      <c r="D27" s="69" t="n">
        <v>63.45</v>
      </c>
      <c r="E27" s="46">
        <f>D27/C27-1</f>
        <v/>
      </c>
      <c r="G27" s="70">
        <f>D27-C27</f>
        <v/>
      </c>
      <c r="H27" s="64" t="n"/>
      <c r="J27" s="64" t="n"/>
      <c r="K27" s="64" t="n"/>
    </row>
    <row r="28" ht="14.25" customHeight="1" s="113">
      <c r="B28" s="16" t="inlineStr">
        <is>
          <t>CLUBE GIRO</t>
        </is>
      </c>
      <c r="C28" s="68" t="n">
        <v>66.06</v>
      </c>
      <c r="D28" s="69" t="n">
        <v>67.31999999999999</v>
      </c>
      <c r="E28" s="46">
        <f>D28/C28-1</f>
        <v/>
      </c>
      <c r="G28" s="70">
        <f>D28-C28</f>
        <v/>
      </c>
      <c r="H28" s="64" t="n"/>
      <c r="J28" s="64" t="n"/>
      <c r="K28" s="64" t="n"/>
    </row>
    <row r="29" ht="14.25" customHeight="1" s="113">
      <c r="B29" s="16" t="inlineStr">
        <is>
          <t>WEMOBI</t>
        </is>
      </c>
      <c r="C29" s="68" t="n">
        <v>100</v>
      </c>
      <c r="D29" s="69" t="n">
        <v>71.12</v>
      </c>
      <c r="E29" s="46">
        <f>D29/C29-1</f>
        <v/>
      </c>
      <c r="G29" s="70">
        <f>D29-C29</f>
        <v/>
      </c>
      <c r="H29" s="64" t="n"/>
      <c r="J29" s="64" t="n"/>
      <c r="K29" s="64" t="n"/>
    </row>
    <row r="30" ht="14.25" customHeight="1" s="113">
      <c r="B30" s="16" t="inlineStr">
        <is>
          <t>TOTEM</t>
        </is>
      </c>
      <c r="C30" s="68" t="n">
        <v>59.58</v>
      </c>
      <c r="D30" s="69" t="n">
        <v>65.8</v>
      </c>
      <c r="E30" s="46">
        <f>D30/C30-1</f>
        <v/>
      </c>
      <c r="G30" s="70">
        <f>D30-C30</f>
        <v/>
      </c>
      <c r="H30" s="64" t="n"/>
      <c r="J30" s="64" t="n"/>
      <c r="K30" s="64" t="n"/>
    </row>
    <row r="31" ht="14.25" customHeight="1" s="113">
      <c r="B31" s="10" t="inlineStr">
        <is>
          <t>GIPSYY</t>
        </is>
      </c>
      <c r="C31" s="65" t="n">
        <v>141.88</v>
      </c>
      <c r="D31" s="66" t="n">
        <v>177.32</v>
      </c>
      <c r="E31" s="46">
        <f>D31/C31-1</f>
        <v/>
      </c>
      <c r="G31" s="70">
        <f>D31-C31</f>
        <v/>
      </c>
      <c r="H31" s="64" t="n"/>
      <c r="J31" s="64" t="n"/>
      <c r="K31" s="64" t="n"/>
    </row>
    <row r="32" ht="14.25" customHeight="1" s="113">
      <c r="B32" s="1" t="inlineStr">
        <is>
          <t>TOTAL</t>
        </is>
      </c>
      <c r="C32" s="56" t="n">
        <v>77.15000000000001</v>
      </c>
      <c r="D32" s="71" t="n">
        <v>77.47</v>
      </c>
      <c r="E32" s="53">
        <f>D32/C32-1</f>
        <v/>
      </c>
      <c r="G32" s="72">
        <f>D32-C32</f>
        <v/>
      </c>
    </row>
    <row r="33" ht="14.25" customHeight="1" s="113"/>
    <row r="34" ht="14.25" customHeight="1" s="113">
      <c r="B34" s="1" t="inlineStr">
        <is>
          <t>CANAIS</t>
        </is>
      </c>
      <c r="C34" s="1" t="inlineStr">
        <is>
          <t>TM 2024</t>
        </is>
      </c>
      <c r="D34" s="2" t="inlineStr">
        <is>
          <t>TM 2025</t>
        </is>
      </c>
      <c r="E34" s="2" t="inlineStr">
        <is>
          <t>% 24 x 25</t>
        </is>
      </c>
      <c r="G34" s="2" t="inlineStr">
        <is>
          <t>DIF 24 X 25</t>
        </is>
      </c>
      <c r="H34" s="60" t="n"/>
      <c r="J34" s="60" t="n"/>
      <c r="K34" s="60" t="n"/>
    </row>
    <row r="35" ht="14.25" customHeight="1" s="113">
      <c r="B35" s="4" t="inlineStr">
        <is>
          <t>OFFLINE</t>
        </is>
      </c>
      <c r="C35" s="61" t="n">
        <v>61.99</v>
      </c>
      <c r="D35" s="62" t="n">
        <v>64.83</v>
      </c>
      <c r="E35" s="32">
        <f>D35/C35-1</f>
        <v/>
      </c>
      <c r="G35" s="63">
        <f>D35-C35</f>
        <v/>
      </c>
      <c r="H35" s="64" t="n"/>
      <c r="J35" s="64" t="n"/>
      <c r="K35" s="64" t="n"/>
    </row>
    <row r="36" ht="14.25" customHeight="1" s="113">
      <c r="B36" s="10" t="inlineStr">
        <is>
          <t>ONLINE</t>
        </is>
      </c>
      <c r="C36" s="65" t="n">
        <v>92.23</v>
      </c>
      <c r="D36" s="66" t="n">
        <v>88.69</v>
      </c>
      <c r="E36" s="39">
        <f>D36/C36-1</f>
        <v/>
      </c>
      <c r="G36" s="67">
        <f>D36-C36</f>
        <v/>
      </c>
      <c r="H36" s="64" t="n"/>
      <c r="J36" s="64" t="n"/>
      <c r="K36" s="64" t="n"/>
    </row>
    <row r="37" ht="14.25" customHeight="1" s="113"/>
    <row r="38" ht="14.25" customHeight="1" s="113"/>
    <row r="39" ht="14.25" customHeight="1" s="113">
      <c r="B39" s="1" t="inlineStr">
        <is>
          <t>CANAIS</t>
        </is>
      </c>
      <c r="C39" s="1" t="inlineStr">
        <is>
          <t>PAX 2024</t>
        </is>
      </c>
      <c r="D39" s="2" t="inlineStr">
        <is>
          <t>PAX 2025</t>
        </is>
      </c>
      <c r="E39" s="2" t="inlineStr">
        <is>
          <t>% 24 x 25</t>
        </is>
      </c>
      <c r="G39" s="2" t="inlineStr">
        <is>
          <t>DIF 24 X 25</t>
        </is>
      </c>
      <c r="H39" s="60" t="n"/>
      <c r="J39" s="60" t="n"/>
      <c r="K39" s="60" t="n"/>
    </row>
    <row r="40" ht="14.25" customHeight="1" s="113">
      <c r="B40" s="4" t="inlineStr">
        <is>
          <t>GUICHÊS PRÓPRIOS UTP</t>
        </is>
      </c>
      <c r="C40" s="73" t="n">
        <v>598746</v>
      </c>
      <c r="D40" s="74" t="n">
        <v>561764</v>
      </c>
      <c r="E40" s="32">
        <f>D40/C40-1</f>
        <v/>
      </c>
      <c r="G40" s="75">
        <f>D40-C40</f>
        <v/>
      </c>
      <c r="H40" s="64" t="n"/>
      <c r="J40" s="64" t="n"/>
      <c r="K40" s="64" t="n"/>
    </row>
    <row r="41" ht="14.25" customHeight="1" s="113">
      <c r="B41" s="10" t="inlineStr">
        <is>
          <t>GUICHÊS TERCEIROS UTP</t>
        </is>
      </c>
      <c r="C41" s="76" t="n">
        <v>215072</v>
      </c>
      <c r="D41" s="77" t="n">
        <v>192255</v>
      </c>
      <c r="E41" s="39">
        <f>D41/C41-1</f>
        <v/>
      </c>
      <c r="G41" s="78">
        <f>D41-C41</f>
        <v/>
      </c>
      <c r="H41" s="64" t="n"/>
      <c r="J41" s="64" t="n"/>
      <c r="K41" s="64" t="n"/>
    </row>
    <row r="42" ht="14.25" customHeight="1" s="113">
      <c r="B42" s="16" t="inlineStr">
        <is>
          <t>SITES PRÓPRIOS UTP</t>
        </is>
      </c>
      <c r="C42" s="79" t="n">
        <v>383008</v>
      </c>
      <c r="D42" s="80" t="n">
        <v>375921</v>
      </c>
      <c r="E42" s="46">
        <f>D42/C42-1</f>
        <v/>
      </c>
      <c r="G42" s="81">
        <f>D42-C42</f>
        <v/>
      </c>
      <c r="H42" s="64" t="n"/>
      <c r="J42" s="64" t="n"/>
      <c r="K42" s="64" t="n"/>
    </row>
    <row r="43" ht="14.25" customHeight="1" s="113">
      <c r="B43" s="16" t="inlineStr">
        <is>
          <t>SITES TERCEIROS UTP</t>
        </is>
      </c>
      <c r="C43" s="79" t="n">
        <v>264560</v>
      </c>
      <c r="D43" s="80" t="n">
        <v>283797</v>
      </c>
      <c r="E43" s="46">
        <f>D43/C43-1</f>
        <v/>
      </c>
      <c r="G43" s="81">
        <f>D43-C43</f>
        <v/>
      </c>
      <c r="H43" s="64" t="n"/>
      <c r="J43" s="64" t="n"/>
      <c r="K43" s="64" t="n"/>
    </row>
    <row r="44" ht="14.25" customHeight="1" s="113">
      <c r="B44" s="16" t="inlineStr">
        <is>
          <t>OUTLET DE PASSAGENS</t>
        </is>
      </c>
      <c r="C44" s="79" t="n">
        <v>28919</v>
      </c>
      <c r="D44" s="80" t="n">
        <v>34056</v>
      </c>
      <c r="E44" s="46">
        <f>D44/C44-1</f>
        <v/>
      </c>
      <c r="G44" s="81">
        <f>D44-C44</f>
        <v/>
      </c>
      <c r="H44" s="64" t="n"/>
      <c r="J44" s="64" t="n"/>
      <c r="K44" s="64" t="n"/>
    </row>
    <row r="45" ht="14.25" customHeight="1" s="113">
      <c r="B45" s="16" t="inlineStr">
        <is>
          <t>CLUBE GIRO</t>
        </is>
      </c>
      <c r="C45" s="79" t="n">
        <v>57921</v>
      </c>
      <c r="D45" s="80" t="n">
        <v>56334</v>
      </c>
      <c r="E45" s="46">
        <f>D45/C45-1</f>
        <v/>
      </c>
      <c r="G45" s="81">
        <f>D45-C45</f>
        <v/>
      </c>
      <c r="H45" s="64" t="n"/>
      <c r="J45" s="64" t="n"/>
      <c r="K45" s="64" t="n"/>
    </row>
    <row r="46" ht="14.25" customHeight="1" s="113">
      <c r="B46" s="16" t="inlineStr">
        <is>
          <t>WEMOBI</t>
        </is>
      </c>
      <c r="C46" s="79" t="n">
        <v>13740</v>
      </c>
      <c r="D46" s="80" t="n">
        <v>30810</v>
      </c>
      <c r="E46" s="46">
        <f>D46/C46-1</f>
        <v/>
      </c>
      <c r="G46" s="81">
        <f>D46-C46</f>
        <v/>
      </c>
      <c r="H46" s="64" t="n"/>
      <c r="J46" s="64" t="n"/>
      <c r="K46" s="64" t="n"/>
    </row>
    <row r="47" ht="14.25" customHeight="1" s="113">
      <c r="B47" s="16" t="inlineStr">
        <is>
          <t>TOTEM</t>
        </is>
      </c>
      <c r="C47" s="79" t="n">
        <v>31222</v>
      </c>
      <c r="D47" s="80" t="n">
        <v>21845</v>
      </c>
      <c r="E47" s="46">
        <f>D47/C47-1</f>
        <v/>
      </c>
      <c r="G47" s="81">
        <f>D47-C47</f>
        <v/>
      </c>
      <c r="H47" s="64" t="n"/>
      <c r="J47" s="64" t="n"/>
      <c r="K47" s="64" t="n"/>
    </row>
    <row r="48" ht="14.25" customHeight="1" s="113">
      <c r="B48" s="10" t="inlineStr">
        <is>
          <t>GIPSYY</t>
        </is>
      </c>
      <c r="C48" s="76" t="n">
        <v>211</v>
      </c>
      <c r="D48" s="77" t="n">
        <v>281</v>
      </c>
      <c r="E48" s="46">
        <f>D48/C48-1</f>
        <v/>
      </c>
      <c r="G48" s="81">
        <f>D48-C48</f>
        <v/>
      </c>
      <c r="H48" s="64" t="n"/>
      <c r="J48" s="64" t="n"/>
      <c r="K48" s="64" t="n"/>
    </row>
    <row r="49" ht="14.25" customHeight="1" s="113">
      <c r="B49" s="1" t="inlineStr">
        <is>
          <t>TOTAL</t>
        </is>
      </c>
      <c r="C49" s="82">
        <f>SUM(C40:C48)</f>
        <v/>
      </c>
      <c r="D49" s="83">
        <f>SUM(D40:D48)</f>
        <v/>
      </c>
      <c r="E49" s="53">
        <f>D49/C49-1</f>
        <v/>
      </c>
      <c r="G49" s="84">
        <f>D49-C49</f>
        <v/>
      </c>
    </row>
    <row r="50" ht="14.25" customHeight="1" s="113"/>
    <row r="51" ht="14.25" customHeight="1" s="113">
      <c r="B51" s="1" t="inlineStr">
        <is>
          <t>CANAIS</t>
        </is>
      </c>
      <c r="C51" s="1" t="inlineStr">
        <is>
          <t>PAX 2024</t>
        </is>
      </c>
      <c r="D51" s="2" t="inlineStr">
        <is>
          <t>PAX 2025</t>
        </is>
      </c>
      <c r="E51" s="2" t="inlineStr">
        <is>
          <t>% 24 x 25</t>
        </is>
      </c>
      <c r="G51" s="2" t="inlineStr">
        <is>
          <t>DIF 24 X 25</t>
        </is>
      </c>
      <c r="H51" s="60" t="n"/>
      <c r="J51" s="60" t="n"/>
      <c r="K51" s="60" t="n"/>
    </row>
    <row r="52" ht="14.25" customHeight="1" s="113">
      <c r="B52" s="16" t="inlineStr">
        <is>
          <t>OFFLINE</t>
        </is>
      </c>
      <c r="C52" s="79">
        <f>C40+C41</f>
        <v/>
      </c>
      <c r="D52" s="80">
        <f>D40+D41</f>
        <v/>
      </c>
      <c r="E52" s="46">
        <f>D52/C52-1</f>
        <v/>
      </c>
      <c r="G52" s="70">
        <f>D52-C52</f>
        <v/>
      </c>
      <c r="H52" s="64" t="n"/>
      <c r="J52" s="64" t="n"/>
      <c r="K52" s="64" t="n"/>
    </row>
    <row r="53" ht="14.25" customHeight="1" s="113">
      <c r="B53" s="10" t="inlineStr">
        <is>
          <t>ONLINE</t>
        </is>
      </c>
      <c r="C53" s="76">
        <f>C42+C43+C44+C45+C46+C47+C48</f>
        <v/>
      </c>
      <c r="D53" s="77">
        <f>D42+D43+D44+D45+D46+D47+D48</f>
        <v/>
      </c>
      <c r="E53" s="46">
        <f>D53/C53-1</f>
        <v/>
      </c>
      <c r="G53" s="70">
        <f>D53-C53</f>
        <v/>
      </c>
      <c r="H53" s="64" t="n"/>
      <c r="J53" s="64" t="n"/>
      <c r="K53" s="64" t="n"/>
    </row>
    <row r="54" ht="14.25" customHeight="1" s="113">
      <c r="B54" s="1" t="inlineStr">
        <is>
          <t>TOTAL</t>
        </is>
      </c>
      <c r="C54" s="82">
        <f>C52+C53</f>
        <v/>
      </c>
      <c r="D54" s="82">
        <f>D52+D53</f>
        <v/>
      </c>
      <c r="E54" s="53">
        <f>D54/C54-1</f>
        <v/>
      </c>
      <c r="G54" s="72">
        <f>D54-C54</f>
        <v/>
      </c>
    </row>
    <row r="55" ht="14.25" customHeight="1" s="113"/>
    <row r="56" ht="14.25" customHeight="1" s="113"/>
    <row r="57" ht="14.25" customHeight="1" s="113"/>
    <row r="58" ht="14.25" customHeight="1" s="113"/>
    <row r="59" ht="14.25" customHeight="1" s="113"/>
    <row r="60" ht="14.25" customHeight="1" s="113"/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54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88671875" customWidth="1" style="113" min="1" max="1"/>
    <col width="21.6640625" customWidth="1" style="113" min="2" max="2"/>
    <col width="15.109375" customWidth="1" style="113" min="3" max="5"/>
    <col width="1" customWidth="1" style="113" min="6" max="6"/>
    <col width="13.44140625" customWidth="1" style="113" min="7" max="7"/>
    <col width="10.6640625" customWidth="1" style="113" min="8" max="8"/>
    <col width="0.5546875" customWidth="1" style="113" min="9" max="9"/>
    <col width="14.6640625" customWidth="1" style="113" min="10" max="10"/>
    <col width="15.6640625" customWidth="1" style="113" min="11" max="11"/>
    <col width="0.5546875" customWidth="1" style="113" min="12" max="12"/>
    <col width="11.33203125" customWidth="1" style="113" min="13" max="13"/>
    <col width="11" customWidth="1" style="113" min="14" max="14"/>
    <col width="10" customWidth="1" style="113" min="15" max="15"/>
    <col width="8.44140625" customWidth="1" style="113" min="16" max="16"/>
    <col width="9.441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- 31/12/2025</t>
        </is>
      </c>
      <c r="D2" s="85" t="inlineStr">
        <is>
          <t>FECHAMENTO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2024</v>
      </c>
      <c r="D4" s="1" t="inlineStr">
        <is>
          <t>ORÇADO 2025</t>
        </is>
      </c>
      <c r="E4" s="2" t="n">
        <v>2025</v>
      </c>
      <c r="G4" s="2" t="inlineStr">
        <is>
          <t>% 25 X ORÇ.</t>
        </is>
      </c>
      <c r="H4" s="2" t="inlineStr">
        <is>
          <t>% 24 x 25</t>
        </is>
      </c>
      <c r="J4" s="2" t="inlineStr">
        <is>
          <t>DIF 25 X ORÇ.</t>
        </is>
      </c>
      <c r="K4" s="2" t="inlineStr">
        <is>
          <t>DIF 24 X 25</t>
        </is>
      </c>
      <c r="M4" s="28" t="inlineStr">
        <is>
          <t>% PART. 24</t>
        </is>
      </c>
      <c r="N4" s="28" t="inlineStr">
        <is>
          <t>% PART. 25 ORÇ.</t>
        </is>
      </c>
      <c r="O4" s="28" t="inlineStr">
        <is>
          <t>% PART. 25</t>
        </is>
      </c>
      <c r="P4" s="28" t="inlineStr">
        <is>
          <t>p.p 2025</t>
        </is>
      </c>
      <c r="Q4" s="28" t="inlineStr">
        <is>
          <t>p.p 24x25</t>
        </is>
      </c>
    </row>
    <row r="5" ht="14.25" customHeight="1" s="113">
      <c r="B5" s="4" t="inlineStr">
        <is>
          <t>GUICHÊS PRÓPRIOS UTP</t>
        </is>
      </c>
      <c r="C5" s="29" t="n">
        <v>44585022.93</v>
      </c>
      <c r="D5" s="29" t="n">
        <v>34016519.9275535</v>
      </c>
      <c r="E5" s="30" t="n">
        <v>43597980.75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C5/C14</f>
        <v/>
      </c>
      <c r="N5" s="35">
        <f>D5/D14</f>
        <v/>
      </c>
      <c r="O5" s="35">
        <f>E5/E14</f>
        <v/>
      </c>
      <c r="P5" s="9">
        <f>O5-N5</f>
        <v/>
      </c>
      <c r="Q5" s="9">
        <f>O5-M5</f>
        <v/>
      </c>
    </row>
    <row r="6" ht="14.25" customHeight="1" s="113">
      <c r="B6" s="10" t="inlineStr">
        <is>
          <t>GUICHÊS TERCEIROS UTP</t>
        </is>
      </c>
      <c r="C6" s="36" t="n">
        <v>18907323.99</v>
      </c>
      <c r="D6" s="36" t="n">
        <v>13774970.04598141</v>
      </c>
      <c r="E6" s="37" t="n">
        <v>19755599.25</v>
      </c>
      <c r="G6" s="38">
        <f>E6/D6-1</f>
        <v/>
      </c>
      <c r="H6" s="39">
        <f>E6/C6-1</f>
        <v/>
      </c>
      <c r="J6" s="40">
        <f>E6-D6</f>
        <v/>
      </c>
      <c r="K6" s="41">
        <f>E6-C6</f>
        <v/>
      </c>
      <c r="M6" s="15">
        <f>C6/C14</f>
        <v/>
      </c>
      <c r="N6" s="42">
        <f>D6/D14</f>
        <v/>
      </c>
      <c r="O6" s="42">
        <f>E6/E14</f>
        <v/>
      </c>
      <c r="P6" s="15">
        <f>O6-N6</f>
        <v/>
      </c>
      <c r="Q6" s="15">
        <f>O6-M6</f>
        <v/>
      </c>
    </row>
    <row r="7" ht="14.25" customHeight="1" s="113">
      <c r="B7" s="16" t="inlineStr">
        <is>
          <t>SITES PRÓPRIOS UTP</t>
        </is>
      </c>
      <c r="C7" s="43" t="n">
        <v>43877908.66</v>
      </c>
      <c r="D7" s="43" t="n">
        <v>55805319.28538951</v>
      </c>
      <c r="E7" s="44" t="n">
        <v>43072681.66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9">
        <f>C7/C14</f>
        <v/>
      </c>
      <c r="N7" s="35">
        <f>D7/D14</f>
        <v/>
      </c>
      <c r="O7" s="35">
        <f>E7/E14</f>
        <v/>
      </c>
      <c r="P7" s="19">
        <f>O7-N7</f>
        <v/>
      </c>
      <c r="Q7" s="19">
        <f>O7-M7</f>
        <v/>
      </c>
    </row>
    <row r="8" ht="14.25" customHeight="1" s="113">
      <c r="B8" s="16" t="inlineStr">
        <is>
          <t>SITES TERCEIROS UTP</t>
        </is>
      </c>
      <c r="C8" s="43" t="n">
        <v>32743006.68</v>
      </c>
      <c r="D8" s="43" t="n">
        <v>36027975.19772916</v>
      </c>
      <c r="E8" s="44" t="n">
        <v>35905255.11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C8/C14</f>
        <v/>
      </c>
      <c r="N8" s="49">
        <f>D8/D14</f>
        <v/>
      </c>
      <c r="O8" s="49">
        <f>E8/E14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OUTLET DE PASSAGENS</t>
        </is>
      </c>
      <c r="C9" s="43" t="n">
        <v>2400824.94</v>
      </c>
      <c r="D9" s="43" t="n">
        <v>3877265.049017402</v>
      </c>
      <c r="E9" s="44" t="n">
        <v>2850343.88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C9/C14</f>
        <v/>
      </c>
      <c r="N9" s="49">
        <f>D9/D14</f>
        <v/>
      </c>
      <c r="O9" s="49">
        <f>E9/E14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CLUBE GIRO</t>
        </is>
      </c>
      <c r="C10" s="43" t="n">
        <v>3692400.71</v>
      </c>
      <c r="D10" s="43" t="n">
        <v>5904651.770737663</v>
      </c>
      <c r="E10" s="44" t="n">
        <v>4017755.64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C10/C14</f>
        <v/>
      </c>
      <c r="N10" s="49">
        <f>D10/D14</f>
        <v/>
      </c>
      <c r="O10" s="49">
        <f>E10/E14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WEMOBI</t>
        </is>
      </c>
      <c r="C11" s="43" t="n">
        <v>1881767.19</v>
      </c>
      <c r="D11" s="43" t="n">
        <v>3712426.367251623</v>
      </c>
      <c r="E11" s="44" t="n">
        <v>2379594.18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C11/C14</f>
        <v/>
      </c>
      <c r="N11" s="49">
        <f>D11/D14</f>
        <v/>
      </c>
      <c r="O11" s="49">
        <f>E11/E14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TOTEM</t>
        </is>
      </c>
      <c r="C12" s="43" t="n">
        <v>2230280.57</v>
      </c>
      <c r="D12" s="43" t="n">
        <v>6044276.567374659</v>
      </c>
      <c r="E12" s="44" t="n">
        <v>2028125.82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C12/C14</f>
        <v/>
      </c>
      <c r="N12" s="49">
        <f>D12/D14</f>
        <v/>
      </c>
      <c r="O12" s="49">
        <f>E12/E14</f>
        <v/>
      </c>
      <c r="P12" s="19">
        <f>O12-N12</f>
        <v/>
      </c>
      <c r="Q12" s="19">
        <f>O12-M12</f>
        <v/>
      </c>
    </row>
    <row r="13" ht="14.25" customHeight="1" s="113">
      <c r="B13" s="10" t="inlineStr">
        <is>
          <t>GIPSYY</t>
        </is>
      </c>
      <c r="C13" s="36" t="n">
        <v>48389.4</v>
      </c>
      <c r="D13" s="36" t="n">
        <v>133474.208965051</v>
      </c>
      <c r="E13" s="37" t="n">
        <v>40545.35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5">
        <f>C13/C14</f>
        <v/>
      </c>
      <c r="N13" s="42">
        <f>D13/D14</f>
        <v/>
      </c>
      <c r="O13" s="42">
        <f>E13/E14</f>
        <v/>
      </c>
      <c r="P13" s="15">
        <f>O13-N13</f>
        <v/>
      </c>
      <c r="Q13" s="15">
        <f>O13-M13</f>
        <v/>
      </c>
    </row>
    <row r="14" ht="14.25" customHeight="1" s="113">
      <c r="B14" s="1" t="inlineStr">
        <is>
          <t>TOTAL</t>
        </is>
      </c>
      <c r="C14" s="50">
        <f>SUM(C5:C13)</f>
        <v/>
      </c>
      <c r="D14" s="50">
        <f>SUM(D5:D13)</f>
        <v/>
      </c>
      <c r="E14" s="51">
        <f>SUM(E5:E13)</f>
        <v/>
      </c>
      <c r="G14" s="52">
        <f>E14/D14-1</f>
        <v/>
      </c>
      <c r="H14" s="53">
        <f>E14/C14-1</f>
        <v/>
      </c>
      <c r="J14" s="54">
        <f>E14-D14</f>
        <v/>
      </c>
      <c r="K14" s="55">
        <f>E14-C14</f>
        <v/>
      </c>
    </row>
    <row r="15" ht="14.25" customHeight="1" s="113"/>
    <row r="16" ht="14.25" customHeight="1" s="113">
      <c r="B16" s="1" t="inlineStr">
        <is>
          <t>CANAIS</t>
        </is>
      </c>
      <c r="C16" s="1" t="n">
        <v>2024</v>
      </c>
      <c r="D16" s="1" t="inlineStr">
        <is>
          <t>ORÇADO 2025</t>
        </is>
      </c>
      <c r="E16" s="2" t="n">
        <v>2025</v>
      </c>
      <c r="G16" s="2" t="inlineStr">
        <is>
          <t>% 25 X ORÇ.</t>
        </is>
      </c>
      <c r="H16" s="2" t="inlineStr">
        <is>
          <t>% 24 x 25</t>
        </is>
      </c>
      <c r="J16" s="2" t="inlineStr">
        <is>
          <t>DIF 25 X ORÇ.</t>
        </is>
      </c>
      <c r="K16" s="2" t="inlineStr">
        <is>
          <t>DIF 24 X 25</t>
        </is>
      </c>
      <c r="M16" s="1" t="inlineStr">
        <is>
          <t>% PART. 24</t>
        </is>
      </c>
      <c r="N16" s="28" t="inlineStr">
        <is>
          <t>% PART. 25 ORÇ.</t>
        </is>
      </c>
      <c r="O16" s="1" t="inlineStr">
        <is>
          <t>% PART. 25</t>
        </is>
      </c>
      <c r="P16" s="28" t="inlineStr">
        <is>
          <t>p.p 2025</t>
        </is>
      </c>
      <c r="Q16" s="3" t="inlineStr">
        <is>
          <t>% VAR</t>
        </is>
      </c>
    </row>
    <row r="17" ht="14.25" customHeight="1" s="113">
      <c r="B17" s="16" t="inlineStr">
        <is>
          <t>OFFLINE</t>
        </is>
      </c>
      <c r="C17" s="43">
        <f>C5+C6</f>
        <v/>
      </c>
      <c r="D17" s="43">
        <f>D5+D6</f>
        <v/>
      </c>
      <c r="E17" s="44">
        <f>E5+E6</f>
        <v/>
      </c>
      <c r="G17" s="45">
        <f>E17/D17-1</f>
        <v/>
      </c>
      <c r="H17" s="46">
        <f>E17/C17-1</f>
        <v/>
      </c>
      <c r="J17" s="47">
        <f>E17-D17</f>
        <v/>
      </c>
      <c r="K17" s="48">
        <f>E17-C17</f>
        <v/>
      </c>
      <c r="M17" s="9">
        <f>M5+M6</f>
        <v/>
      </c>
      <c r="N17" s="35">
        <f>D17/D19</f>
        <v/>
      </c>
      <c r="O17" s="35">
        <f>O5+O6</f>
        <v/>
      </c>
      <c r="P17" s="35">
        <f>O17-N17</f>
        <v/>
      </c>
      <c r="Q17" s="9">
        <f>O17-M17</f>
        <v/>
      </c>
    </row>
    <row r="18" ht="14.25" customHeight="1" s="113">
      <c r="B18" s="10" t="inlineStr">
        <is>
          <t>ONLINE</t>
        </is>
      </c>
      <c r="C18" s="36">
        <f>C7+C8+C9+C10+C11+C12+C13</f>
        <v/>
      </c>
      <c r="D18" s="36">
        <f>D7+D8+D9+D10+D11+D12+D13</f>
        <v/>
      </c>
      <c r="E18" s="37">
        <f>E7+E8+E9+E10+E11+E12+E13</f>
        <v/>
      </c>
      <c r="G18" s="45">
        <f>E18/D18-1</f>
        <v/>
      </c>
      <c r="H18" s="46">
        <f>E18/C18-1</f>
        <v/>
      </c>
      <c r="J18" s="47">
        <f>E18-D18</f>
        <v/>
      </c>
      <c r="K18" s="48">
        <f>E18-C18</f>
        <v/>
      </c>
      <c r="M18" s="15">
        <f>M7+M8+M9+M10+M11+M12+M13</f>
        <v/>
      </c>
      <c r="N18" s="42">
        <f>D18/D19</f>
        <v/>
      </c>
      <c r="O18" s="42">
        <f>O7+O8+O9+O10+O11+O12+O13</f>
        <v/>
      </c>
      <c r="P18" s="42">
        <f>O18-N18</f>
        <v/>
      </c>
      <c r="Q18" s="15">
        <f>O18-M18</f>
        <v/>
      </c>
    </row>
    <row r="19" ht="14.25" customHeight="1" s="113">
      <c r="B19" s="1" t="inlineStr">
        <is>
          <t>TOTAL</t>
        </is>
      </c>
      <c r="C19" s="56">
        <f>C17+C18</f>
        <v/>
      </c>
      <c r="D19" s="56">
        <f>D17+D18</f>
        <v/>
      </c>
      <c r="E19" s="56">
        <f>E17+E18</f>
        <v/>
      </c>
      <c r="G19" s="52">
        <f>E19/D19-1</f>
        <v/>
      </c>
      <c r="H19" s="53">
        <f>E19/C19-1</f>
        <v/>
      </c>
      <c r="J19" s="54">
        <f>E19-D19</f>
        <v/>
      </c>
      <c r="K19" s="55">
        <f>E19-C19</f>
        <v/>
      </c>
    </row>
    <row r="20" ht="14.25" customHeight="1" s="113"/>
    <row r="21" ht="14.25" customHeight="1" s="113"/>
    <row r="22" ht="14.25" customHeight="1" s="113">
      <c r="B22" s="1" t="inlineStr">
        <is>
          <t>CANAIS</t>
        </is>
      </c>
      <c r="C22" s="1" t="inlineStr">
        <is>
          <t>TM 2024</t>
        </is>
      </c>
      <c r="D22" s="2" t="inlineStr">
        <is>
          <t>TM 2025</t>
        </is>
      </c>
      <c r="E22" s="2" t="inlineStr">
        <is>
          <t>% 24 x 25</t>
        </is>
      </c>
      <c r="G22" s="3" t="inlineStr">
        <is>
          <t>DIF 24 X 25</t>
        </is>
      </c>
      <c r="H22" s="60" t="n"/>
      <c r="J22" s="60" t="n"/>
      <c r="K22" s="60" t="n"/>
    </row>
    <row r="23" ht="14.25" customHeight="1" s="113">
      <c r="B23" s="4" t="inlineStr">
        <is>
          <t>GUICHÊS PRÓPRIOS UTP</t>
        </is>
      </c>
      <c r="C23" s="61" t="n">
        <v>64.83</v>
      </c>
      <c r="D23" s="62" t="n">
        <v>67.01000000000001</v>
      </c>
      <c r="E23" s="32">
        <f>D23/C23-1</f>
        <v/>
      </c>
      <c r="G23" s="63">
        <f>D23-C23</f>
        <v/>
      </c>
      <c r="H23" s="64" t="n"/>
      <c r="J23" s="64" t="n"/>
      <c r="K23" s="64" t="n"/>
    </row>
    <row r="24" ht="14.25" customHeight="1" s="113">
      <c r="B24" s="10" t="inlineStr">
        <is>
          <t>GUICHÊS TERCEIROS UTP</t>
        </is>
      </c>
      <c r="C24" s="65" t="n">
        <v>75.17</v>
      </c>
      <c r="D24" s="66" t="n">
        <v>81.97</v>
      </c>
      <c r="E24" s="39">
        <f>D24/C24-1</f>
        <v/>
      </c>
      <c r="G24" s="67">
        <f>D24-C24</f>
        <v/>
      </c>
      <c r="H24" s="64" t="n"/>
      <c r="J24" s="64" t="n"/>
      <c r="K24" s="64" t="n"/>
    </row>
    <row r="25" ht="14.25" customHeight="1" s="113">
      <c r="B25" s="16" t="inlineStr">
        <is>
          <t>SITES PRÓPRIOS UTP</t>
        </is>
      </c>
      <c r="C25" s="68" t="n">
        <v>95.67</v>
      </c>
      <c r="D25" s="69" t="n">
        <v>95.44</v>
      </c>
      <c r="E25" s="46">
        <f>D25/C25-1</f>
        <v/>
      </c>
      <c r="G25" s="70">
        <f>D25-C25</f>
        <v/>
      </c>
      <c r="H25" s="64" t="n"/>
      <c r="J25" s="64" t="n"/>
      <c r="K25" s="64" t="n"/>
    </row>
    <row r="26" ht="14.25" customHeight="1" s="113">
      <c r="B26" s="16" t="inlineStr">
        <is>
          <t>SITES TERCEIROS UTP</t>
        </is>
      </c>
      <c r="C26" s="68" t="n">
        <v>99.14</v>
      </c>
      <c r="D26" s="69" t="n">
        <v>97.95</v>
      </c>
      <c r="E26" s="46">
        <f>D26/C26-1</f>
        <v/>
      </c>
      <c r="G26" s="70">
        <f>D26-C26</f>
        <v/>
      </c>
      <c r="H26" s="64" t="n"/>
      <c r="J26" s="64" t="n"/>
      <c r="K26" s="64" t="n"/>
    </row>
    <row r="27" ht="14.25" customHeight="1" s="113">
      <c r="B27" s="16" t="inlineStr">
        <is>
          <t>OUTLET DE PASSAGENS</t>
        </is>
      </c>
      <c r="C27" s="68" t="n">
        <v>70.55</v>
      </c>
      <c r="D27" s="69" t="n">
        <v>69.91</v>
      </c>
      <c r="E27" s="46">
        <f>D27/C27-1</f>
        <v/>
      </c>
      <c r="G27" s="70">
        <f>D27-C27</f>
        <v/>
      </c>
      <c r="H27" s="64" t="n"/>
      <c r="J27" s="64" t="n"/>
      <c r="K27" s="64" t="n"/>
    </row>
    <row r="28" ht="14.25" customHeight="1" s="113">
      <c r="B28" s="16" t="inlineStr">
        <is>
          <t>CLUBE GIRO</t>
        </is>
      </c>
      <c r="C28" s="68" t="n">
        <v>70.28</v>
      </c>
      <c r="D28" s="69" t="n">
        <v>73.86</v>
      </c>
      <c r="E28" s="46">
        <f>D28/C28-1</f>
        <v/>
      </c>
      <c r="G28" s="70">
        <f>D28-C28</f>
        <v/>
      </c>
      <c r="H28" s="64" t="n"/>
      <c r="J28" s="64" t="n"/>
      <c r="K28" s="64" t="n"/>
    </row>
    <row r="29" ht="14.25" customHeight="1" s="113">
      <c r="B29" s="16" t="inlineStr">
        <is>
          <t>WEMOBI</t>
        </is>
      </c>
      <c r="C29" s="68" t="n">
        <v>103.37</v>
      </c>
      <c r="D29" s="69" t="n">
        <v>102.35</v>
      </c>
      <c r="E29" s="46">
        <f>D29/C29-1</f>
        <v/>
      </c>
      <c r="G29" s="70">
        <f>D29-C29</f>
        <v/>
      </c>
      <c r="H29" s="64" t="n"/>
      <c r="J29" s="64" t="n"/>
      <c r="K29" s="64" t="n"/>
    </row>
    <row r="30" ht="14.25" customHeight="1" s="113">
      <c r="B30" s="16" t="inlineStr">
        <is>
          <t>TOTEM</t>
        </is>
      </c>
      <c r="C30" s="68" t="n">
        <v>62.68</v>
      </c>
      <c r="D30" s="69" t="n">
        <v>68.61</v>
      </c>
      <c r="E30" s="46">
        <f>D30/C30-1</f>
        <v/>
      </c>
      <c r="G30" s="70">
        <f>D30-C30</f>
        <v/>
      </c>
      <c r="H30" s="64" t="n"/>
      <c r="J30" s="64" t="n"/>
      <c r="K30" s="64" t="n"/>
    </row>
    <row r="31" ht="14.25" customHeight="1" s="113">
      <c r="B31" s="10" t="inlineStr">
        <is>
          <t>GIPSYY</t>
        </is>
      </c>
      <c r="C31" s="65" t="n">
        <v>129.14</v>
      </c>
      <c r="D31" s="66" t="n">
        <v>156.16</v>
      </c>
      <c r="E31" s="46">
        <f>D31/C31-1</f>
        <v/>
      </c>
      <c r="G31" s="70">
        <f>D31-C31</f>
        <v/>
      </c>
      <c r="H31" s="64" t="n"/>
      <c r="J31" s="64" t="n"/>
      <c r="K31" s="64" t="n"/>
    </row>
    <row r="32" ht="14.25" customHeight="1" s="113">
      <c r="B32" s="1" t="inlineStr">
        <is>
          <t>TOTAL</t>
        </is>
      </c>
      <c r="C32" s="56" t="n"/>
      <c r="D32" s="71" t="n"/>
      <c r="E32" s="53">
        <f>D32/C32-1</f>
        <v/>
      </c>
      <c r="G32" s="72">
        <f>D32-C32</f>
        <v/>
      </c>
    </row>
    <row r="33" ht="14.25" customHeight="1" s="113"/>
    <row r="34" ht="14.25" customHeight="1" s="113">
      <c r="B34" s="1" t="inlineStr">
        <is>
          <t>CANAIS</t>
        </is>
      </c>
      <c r="C34" s="1" t="inlineStr">
        <is>
          <t>TM 2024</t>
        </is>
      </c>
      <c r="D34" s="2" t="inlineStr">
        <is>
          <t>TM 2025</t>
        </is>
      </c>
      <c r="E34" s="2" t="inlineStr">
        <is>
          <t>% 24 x 25</t>
        </is>
      </c>
      <c r="G34" s="2" t="inlineStr">
        <is>
          <t>DIF 24 X 25</t>
        </is>
      </c>
      <c r="H34" s="60" t="n"/>
      <c r="J34" s="60" t="n"/>
      <c r="K34" s="60" t="n"/>
    </row>
    <row r="35" ht="14.25" customHeight="1" s="113">
      <c r="B35" s="4" t="inlineStr">
        <is>
          <t>OFFLINE</t>
        </is>
      </c>
      <c r="C35" s="61" t="n">
        <v>67.63</v>
      </c>
      <c r="D35" s="62" t="n">
        <v>71.09999999999999</v>
      </c>
      <c r="E35" s="32">
        <f>D35/C35-1</f>
        <v/>
      </c>
      <c r="G35" s="63">
        <f>D35-C35</f>
        <v/>
      </c>
      <c r="H35" s="64" t="n"/>
      <c r="J35" s="64" t="n"/>
      <c r="K35" s="64" t="n"/>
    </row>
    <row r="36" ht="14.25" customHeight="1" s="113">
      <c r="B36" s="10" t="inlineStr">
        <is>
          <t>ONLINE</t>
        </is>
      </c>
      <c r="C36" s="65" t="n">
        <v>93.51000000000001</v>
      </c>
      <c r="D36" s="66" t="n">
        <v>93.5</v>
      </c>
      <c r="E36" s="39">
        <f>D36/C36-1</f>
        <v/>
      </c>
      <c r="G36" s="67">
        <f>D36-C36</f>
        <v/>
      </c>
      <c r="H36" s="64" t="n"/>
      <c r="J36" s="64" t="n"/>
      <c r="K36" s="64" t="n"/>
    </row>
    <row r="37" ht="14.25" customHeight="1" s="113"/>
    <row r="38" ht="14.25" customHeight="1" s="113"/>
    <row r="39" ht="14.25" customHeight="1" s="113">
      <c r="B39" s="1" t="inlineStr">
        <is>
          <t>CANAIS</t>
        </is>
      </c>
      <c r="C39" s="1" t="inlineStr">
        <is>
          <t>PAX 2024</t>
        </is>
      </c>
      <c r="D39" s="2" t="inlineStr">
        <is>
          <t>PAX 2025</t>
        </is>
      </c>
      <c r="E39" s="2" t="inlineStr">
        <is>
          <t>% 24 x 25</t>
        </is>
      </c>
      <c r="G39" s="2" t="inlineStr">
        <is>
          <t>DIF 24 X 25</t>
        </is>
      </c>
      <c r="H39" s="60" t="n"/>
      <c r="J39" s="60" t="n"/>
      <c r="K39" s="60" t="n"/>
    </row>
    <row r="40" ht="14.25" customHeight="1" s="113">
      <c r="B40" s="4" t="inlineStr">
        <is>
          <t>GUICHÊS PRÓPRIOS UTP</t>
        </is>
      </c>
      <c r="C40" s="73" t="n">
        <v>680943</v>
      </c>
      <c r="D40" s="74" t="n">
        <v>641574</v>
      </c>
      <c r="E40" s="32">
        <f>D40/C40-1</f>
        <v/>
      </c>
      <c r="G40" s="75">
        <f>D40-C40</f>
        <v/>
      </c>
      <c r="H40" s="64" t="n"/>
      <c r="J40" s="64" t="n"/>
      <c r="K40" s="64" t="n"/>
    </row>
    <row r="41" ht="14.25" customHeight="1" s="113">
      <c r="B41" s="10" t="inlineStr">
        <is>
          <t>GUICHÊS TERCEIROS UTP</t>
        </is>
      </c>
      <c r="C41" s="76" t="n">
        <v>249318</v>
      </c>
      <c r="D41" s="77" t="n">
        <v>238467</v>
      </c>
      <c r="E41" s="39">
        <f>D41/C41-1</f>
        <v/>
      </c>
      <c r="G41" s="78">
        <f>D41-C41</f>
        <v/>
      </c>
      <c r="H41" s="64" t="n"/>
      <c r="J41" s="64" t="n"/>
      <c r="K41" s="64" t="n"/>
    </row>
    <row r="42" ht="14.25" customHeight="1" s="113">
      <c r="B42" s="16" t="inlineStr">
        <is>
          <t>SITES PRÓPRIOS UTP</t>
        </is>
      </c>
      <c r="C42" s="79" t="n">
        <v>458824</v>
      </c>
      <c r="D42" s="80" t="n">
        <v>449477</v>
      </c>
      <c r="E42" s="46">
        <f>D42/C42-1</f>
        <v/>
      </c>
      <c r="G42" s="81">
        <f>D42-C42</f>
        <v/>
      </c>
      <c r="H42" s="64" t="n"/>
      <c r="J42" s="64" t="n"/>
      <c r="K42" s="64" t="n"/>
    </row>
    <row r="43" ht="14.25" customHeight="1" s="113">
      <c r="B43" s="16" t="inlineStr">
        <is>
          <t>SITES TERCEIROS UTP</t>
        </is>
      </c>
      <c r="C43" s="79" t="n">
        <v>332918</v>
      </c>
      <c r="D43" s="80" t="n">
        <v>367170</v>
      </c>
      <c r="E43" s="46">
        <f>D43/C43-1</f>
        <v/>
      </c>
      <c r="G43" s="81">
        <f>D43-C43</f>
        <v/>
      </c>
      <c r="H43" s="64" t="n"/>
      <c r="J43" s="64" t="n"/>
      <c r="K43" s="64" t="n"/>
    </row>
    <row r="44" ht="14.25" customHeight="1" s="113">
      <c r="B44" s="16" t="inlineStr">
        <is>
          <t>OUTLET DE PASSAGENS</t>
        </is>
      </c>
      <c r="C44" s="79" t="n">
        <v>33222</v>
      </c>
      <c r="D44" s="80" t="n">
        <v>39891</v>
      </c>
      <c r="E44" s="46">
        <f>D44/C44-1</f>
        <v/>
      </c>
      <c r="G44" s="81">
        <f>D44-C44</f>
        <v/>
      </c>
      <c r="H44" s="64" t="n"/>
      <c r="J44" s="64" t="n"/>
      <c r="K44" s="64" t="n"/>
    </row>
    <row r="45" ht="14.25" customHeight="1" s="113">
      <c r="B45" s="16" t="inlineStr">
        <is>
          <t>CLUBE GIRO</t>
        </is>
      </c>
      <c r="C45" s="79" t="n">
        <v>52372</v>
      </c>
      <c r="D45" s="80" t="n">
        <v>53954</v>
      </c>
      <c r="E45" s="46">
        <f>D45/C45-1</f>
        <v/>
      </c>
      <c r="G45" s="81">
        <f>D45-C45</f>
        <v/>
      </c>
      <c r="H45" s="64" t="n"/>
      <c r="J45" s="64" t="n"/>
      <c r="K45" s="64" t="n"/>
    </row>
    <row r="46" ht="14.25" customHeight="1" s="113">
      <c r="B46" s="16" t="inlineStr">
        <is>
          <t>WEMOBI</t>
        </is>
      </c>
      <c r="C46" s="79" t="n">
        <v>18127</v>
      </c>
      <c r="D46" s="80" t="n">
        <v>22695</v>
      </c>
      <c r="E46" s="46">
        <f>D46/C46-1</f>
        <v/>
      </c>
      <c r="G46" s="81">
        <f>D46-C46</f>
        <v/>
      </c>
      <c r="H46" s="64" t="n"/>
      <c r="J46" s="64" t="n"/>
      <c r="K46" s="64" t="n"/>
    </row>
    <row r="47" ht="14.25" customHeight="1" s="113">
      <c r="B47" s="16" t="inlineStr">
        <is>
          <t>TOTEM</t>
        </is>
      </c>
      <c r="C47" s="79" t="n">
        <v>35558</v>
      </c>
      <c r="D47" s="80" t="n">
        <v>29601</v>
      </c>
      <c r="E47" s="46">
        <f>D47/C47-1</f>
        <v/>
      </c>
      <c r="G47" s="81">
        <f>D47-C47</f>
        <v/>
      </c>
      <c r="H47" s="64" t="n"/>
      <c r="J47" s="64" t="n"/>
      <c r="K47" s="64" t="n"/>
    </row>
    <row r="48" ht="14.25" customHeight="1" s="113">
      <c r="B48" s="10" t="inlineStr">
        <is>
          <t>GIPSYY</t>
        </is>
      </c>
      <c r="C48" s="76" t="n">
        <v>375</v>
      </c>
      <c r="D48" s="77" t="n">
        <v>248</v>
      </c>
      <c r="E48" s="46">
        <f>D48/C48-1</f>
        <v/>
      </c>
      <c r="G48" s="81">
        <f>D48-C48</f>
        <v/>
      </c>
      <c r="H48" s="64" t="n"/>
      <c r="J48" s="64" t="n"/>
      <c r="K48" s="64" t="n"/>
    </row>
    <row r="49" ht="14.25" customHeight="1" s="113">
      <c r="B49" s="1" t="inlineStr">
        <is>
          <t>TOTAL</t>
        </is>
      </c>
      <c r="C49" s="82">
        <f>SUM(C40:C48)</f>
        <v/>
      </c>
      <c r="D49" s="83">
        <f>SUM(D40:D48)</f>
        <v/>
      </c>
      <c r="E49" s="53">
        <f>D49/C49-1</f>
        <v/>
      </c>
      <c r="G49" s="84">
        <f>D49-C49</f>
        <v/>
      </c>
    </row>
    <row r="50" ht="14.25" customHeight="1" s="113"/>
    <row r="51" ht="14.25" customHeight="1" s="113">
      <c r="B51" s="1" t="inlineStr">
        <is>
          <t>CANAIS</t>
        </is>
      </c>
      <c r="C51" s="1" t="inlineStr">
        <is>
          <t>PAX 2024</t>
        </is>
      </c>
      <c r="D51" s="2" t="inlineStr">
        <is>
          <t>PAX 2025</t>
        </is>
      </c>
      <c r="E51" s="2" t="inlineStr">
        <is>
          <t>% 24 x 25</t>
        </is>
      </c>
      <c r="G51" s="2" t="inlineStr">
        <is>
          <t>DIF 24 X 25</t>
        </is>
      </c>
      <c r="H51" s="60" t="n"/>
      <c r="J51" s="60" t="n"/>
      <c r="K51" s="60" t="n"/>
    </row>
    <row r="52" ht="14.25" customHeight="1" s="113">
      <c r="B52" s="16" t="inlineStr">
        <is>
          <t>OFFLINE</t>
        </is>
      </c>
      <c r="C52" s="79">
        <f>C40+C41</f>
        <v/>
      </c>
      <c r="D52" s="80">
        <f>D40+D41</f>
        <v/>
      </c>
      <c r="E52" s="46">
        <f>D52/C52-1</f>
        <v/>
      </c>
      <c r="G52" s="70">
        <f>D52-C52</f>
        <v/>
      </c>
      <c r="H52" s="64" t="n"/>
      <c r="J52" s="64" t="n"/>
      <c r="K52" s="64" t="n"/>
    </row>
    <row r="53" ht="14.25" customHeight="1" s="113">
      <c r="B53" s="10" t="inlineStr">
        <is>
          <t>ONLINE</t>
        </is>
      </c>
      <c r="C53" s="76">
        <f>C42+C43+C44+C45+C46+C47+C48</f>
        <v/>
      </c>
      <c r="D53" s="77">
        <f>D42+D43+D44+D45+D46+D47+D48</f>
        <v/>
      </c>
      <c r="E53" s="46">
        <f>D53/C53-1</f>
        <v/>
      </c>
      <c r="G53" s="70">
        <f>D53-C53</f>
        <v/>
      </c>
      <c r="H53" s="64" t="n"/>
      <c r="J53" s="64" t="n"/>
      <c r="K53" s="64" t="n"/>
    </row>
    <row r="54" ht="14.25" customHeight="1" s="113">
      <c r="B54" s="1" t="inlineStr">
        <is>
          <t>TOTAL</t>
        </is>
      </c>
      <c r="C54" s="82">
        <f>C52+C53</f>
        <v/>
      </c>
      <c r="D54" s="82">
        <f>D52+D53</f>
        <v/>
      </c>
      <c r="E54" s="53">
        <f>D54/C54-1</f>
        <v/>
      </c>
      <c r="G54" s="72">
        <f>D54-C54</f>
        <v/>
      </c>
    </row>
    <row r="55" ht="14.25" customHeight="1" s="113"/>
    <row r="56" ht="14.25" customHeight="1" s="113"/>
    <row r="57" ht="14.25" customHeight="1" s="113"/>
    <row r="58" ht="14.25" customHeight="1" s="113"/>
    <row r="59" ht="14.25" customHeight="1" s="113"/>
    <row r="60" ht="14.25" customHeight="1" s="113"/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Q60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88671875" customWidth="1" style="113" min="1" max="1"/>
    <col width="21.6640625" customWidth="1" style="113" min="2" max="2"/>
    <col width="15.109375" customWidth="1" style="113" min="3" max="5"/>
    <col width="1" customWidth="1" style="113" min="6" max="6"/>
    <col width="13.44140625" customWidth="1" style="113" min="7" max="7"/>
    <col width="10.6640625" customWidth="1" style="113" min="8" max="8"/>
    <col width="0.5546875" customWidth="1" style="113" min="9" max="9"/>
    <col width="14.6640625" customWidth="1" style="113" min="10" max="10"/>
    <col width="15.6640625" customWidth="1" style="113" min="11" max="11"/>
    <col width="0.5546875" customWidth="1" style="113" min="12" max="12"/>
    <col width="11.33203125" customWidth="1" style="113" min="13" max="13"/>
    <col width="11" customWidth="1" style="113" min="14" max="14"/>
    <col width="10" customWidth="1" style="113" min="15" max="15"/>
    <col width="8.44140625" customWidth="1" style="113" min="16" max="16"/>
    <col width="9.441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- 31/01/2026</t>
        </is>
      </c>
      <c r="D2" s="24" t="inlineStr">
        <is>
          <t>FECHAMENTO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2025</v>
      </c>
      <c r="D4" s="1" t="inlineStr">
        <is>
          <t>ORÇADO 2026</t>
        </is>
      </c>
      <c r="E4" s="2" t="n">
        <v>2026</v>
      </c>
      <c r="G4" s="2" t="inlineStr">
        <is>
          <t>% 26 X ORÇ.</t>
        </is>
      </c>
      <c r="H4" s="2" t="inlineStr">
        <is>
          <t>% 25 x 26</t>
        </is>
      </c>
      <c r="J4" s="2" t="inlineStr">
        <is>
          <t>DIF 26 X ORÇ.</t>
        </is>
      </c>
      <c r="K4" s="2" t="inlineStr">
        <is>
          <t>DIF 25 X 26</t>
        </is>
      </c>
      <c r="M4" s="28" t="inlineStr">
        <is>
          <t>% PART. 25</t>
        </is>
      </c>
      <c r="N4" s="28" t="inlineStr">
        <is>
          <t>% PART. 26 ORÇ.</t>
        </is>
      </c>
      <c r="O4" s="28" t="inlineStr">
        <is>
          <t>% PART. 26</t>
        </is>
      </c>
      <c r="P4" s="28" t="inlineStr">
        <is>
          <t>p.p 2026</t>
        </is>
      </c>
      <c r="Q4" s="3" t="inlineStr">
        <is>
          <t>p.p 25x26</t>
        </is>
      </c>
    </row>
    <row r="5" ht="14.25" customHeight="1" s="113">
      <c r="B5" s="4" t="inlineStr">
        <is>
          <t>GUICHÊS PRÓPRIOS UTP</t>
        </is>
      </c>
      <c r="C5" s="29" t="n">
        <v>38882666.36</v>
      </c>
      <c r="D5" s="29" t="n">
        <v>40672306.71149688</v>
      </c>
      <c r="E5" s="30" t="n">
        <v>38280543.08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C5/C16</f>
        <v/>
      </c>
      <c r="N5" s="35">
        <f>D5/D16</f>
        <v/>
      </c>
      <c r="O5" s="35">
        <f>E5/E16</f>
        <v/>
      </c>
      <c r="P5" s="9">
        <f>O5-N5</f>
        <v/>
      </c>
      <c r="Q5" s="9">
        <f>O5-M5</f>
        <v/>
      </c>
    </row>
    <row r="6" ht="14.25" customHeight="1" s="113">
      <c r="B6" s="16" t="inlineStr">
        <is>
          <t>GUICHÊS TERCEIROS UTP</t>
        </is>
      </c>
      <c r="C6" s="43" t="n">
        <v>17707649.9</v>
      </c>
      <c r="D6" s="43" t="n">
        <v>12901844.14007069</v>
      </c>
      <c r="E6" s="44" t="n">
        <v>18235234.55</v>
      </c>
      <c r="G6" s="45">
        <f>E6/D6-1</f>
        <v/>
      </c>
      <c r="H6" s="46">
        <f>E6/C6-1</f>
        <v/>
      </c>
      <c r="J6" s="47">
        <f>E6-D6</f>
        <v/>
      </c>
      <c r="K6" s="48">
        <f>E6-C6</f>
        <v/>
      </c>
      <c r="M6" s="19">
        <f>C6/C16</f>
        <v/>
      </c>
      <c r="N6" s="49">
        <f>D6/D16</f>
        <v/>
      </c>
      <c r="O6" s="49">
        <f>E6/E16</f>
        <v/>
      </c>
      <c r="P6" s="19">
        <f>O6-N6</f>
        <v/>
      </c>
      <c r="Q6" s="19">
        <f>O6-M6</f>
        <v/>
      </c>
    </row>
    <row r="7" ht="14.25" customHeight="1" s="113">
      <c r="B7" s="16" t="inlineStr">
        <is>
          <t>VENDA CORPORATIVA</t>
        </is>
      </c>
      <c r="C7" s="43" t="n">
        <v>988122.16</v>
      </c>
      <c r="D7" s="43" t="n">
        <v>594469.0359247511</v>
      </c>
      <c r="E7" s="44" t="n">
        <v>846728.89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19">
        <f>C7/C16</f>
        <v/>
      </c>
      <c r="N7" s="49">
        <f>D7/D16</f>
        <v/>
      </c>
      <c r="O7" s="49">
        <f>E7/E16</f>
        <v/>
      </c>
      <c r="P7" s="19">
        <f>O7-N7</f>
        <v/>
      </c>
      <c r="Q7" s="19">
        <f>O7-M7</f>
        <v/>
      </c>
    </row>
    <row r="8" ht="14.25" customHeight="1" s="113">
      <c r="B8" s="10" t="inlineStr">
        <is>
          <t>VENDA EMBARCADA</t>
        </is>
      </c>
      <c r="C8" s="36" t="n">
        <v>1283166.06</v>
      </c>
      <c r="D8" s="36" t="n">
        <v>491721.9768959971</v>
      </c>
      <c r="E8" s="37" t="n">
        <v>1309205.07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C8/C16</f>
        <v/>
      </c>
      <c r="N8" s="49">
        <f>D8/D16</f>
        <v/>
      </c>
      <c r="O8" s="49">
        <f>E8/E16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SITES PRÓPRIOS UTP</t>
        </is>
      </c>
      <c r="C9" s="43" t="n">
        <v>36876068.13</v>
      </c>
      <c r="D9" s="43" t="n">
        <v>40549692.61926001</v>
      </c>
      <c r="E9" s="44" t="n">
        <v>37543888.64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C9/C16</f>
        <v/>
      </c>
      <c r="N9" s="49">
        <f>D9/D16</f>
        <v/>
      </c>
      <c r="O9" s="49">
        <f>E9/E16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SITES TERCEIROS UTP</t>
        </is>
      </c>
      <c r="C10" s="43" t="n">
        <v>28695905.3</v>
      </c>
      <c r="D10" s="43" t="n">
        <v>31461113.11499712</v>
      </c>
      <c r="E10" s="44" t="n">
        <v>34212011.6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C10/C16</f>
        <v/>
      </c>
      <c r="N10" s="49">
        <f>D10/D16</f>
        <v/>
      </c>
      <c r="O10" s="49">
        <f>E10/E16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OUTLET DE PASSAGENS</t>
        </is>
      </c>
      <c r="C11" s="43" t="n">
        <v>1705327.91</v>
      </c>
      <c r="D11" s="43" t="n">
        <v>1920620.010383196</v>
      </c>
      <c r="E11" s="44" t="n">
        <v>2235218.49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C11/C16</f>
        <v/>
      </c>
      <c r="N11" s="49">
        <f>D11/D16</f>
        <v/>
      </c>
      <c r="O11" s="49">
        <f>E11/E16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CLUBE GIRO</t>
        </is>
      </c>
      <c r="C12" s="43" t="n">
        <v>3091119.47</v>
      </c>
      <c r="D12" s="43" t="n">
        <v>3344109.319081381</v>
      </c>
      <c r="E12" s="44" t="n">
        <v>3770757.76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C12/C16</f>
        <v/>
      </c>
      <c r="N12" s="49">
        <f>D12/D16</f>
        <v/>
      </c>
      <c r="O12" s="49">
        <f>E12/E16</f>
        <v/>
      </c>
      <c r="P12" s="19">
        <f>O12-N12</f>
        <v/>
      </c>
      <c r="Q12" s="19">
        <f>O12-M12</f>
        <v/>
      </c>
    </row>
    <row r="13" ht="14.25" customHeight="1" s="113">
      <c r="B13" s="16" t="inlineStr">
        <is>
          <t>WEMOBI</t>
        </is>
      </c>
      <c r="C13" s="43" t="n">
        <v>1488910.15</v>
      </c>
      <c r="D13" s="43" t="n">
        <v>2107726.944000938</v>
      </c>
      <c r="E13" s="44" t="n">
        <v>1678768.69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9">
        <f>C13/C16</f>
        <v/>
      </c>
      <c r="N13" s="49">
        <f>D13/D16</f>
        <v/>
      </c>
      <c r="O13" s="49">
        <f>E13/E16</f>
        <v/>
      </c>
      <c r="P13" s="19">
        <f>O13-N13</f>
        <v/>
      </c>
      <c r="Q13" s="19">
        <f>O13-M13</f>
        <v/>
      </c>
    </row>
    <row r="14" ht="14.25" customHeight="1" s="113">
      <c r="B14" s="16" t="inlineStr">
        <is>
          <t>TOTEM</t>
        </is>
      </c>
      <c r="C14" s="43" t="n">
        <v>1751014.7</v>
      </c>
      <c r="D14" s="43" t="n">
        <v>2389291.652650001</v>
      </c>
      <c r="E14" s="44" t="n">
        <v>1846558.43</v>
      </c>
      <c r="G14" s="45">
        <f>E14/D14-1</f>
        <v/>
      </c>
      <c r="H14" s="46">
        <f>E14/C14-1</f>
        <v/>
      </c>
      <c r="J14" s="47">
        <f>E14-D14</f>
        <v/>
      </c>
      <c r="K14" s="48">
        <f>E14-C14</f>
        <v/>
      </c>
      <c r="M14" s="19">
        <f>C14/C16</f>
        <v/>
      </c>
      <c r="N14" s="49">
        <f>D14/D16</f>
        <v/>
      </c>
      <c r="O14" s="49">
        <f>E14/E16</f>
        <v/>
      </c>
      <c r="P14" s="19">
        <f>O14-N14</f>
        <v/>
      </c>
      <c r="Q14" s="19">
        <f>O14-M14</f>
        <v/>
      </c>
    </row>
    <row r="15" ht="14.25" customHeight="1" s="113">
      <c r="B15" s="10" t="inlineStr">
        <is>
          <t>GIPSYY</t>
        </is>
      </c>
      <c r="C15" s="36" t="n">
        <v>24481.72</v>
      </c>
      <c r="D15" s="36" t="n">
        <v>98056.05523904895</v>
      </c>
      <c r="E15" s="37" t="n">
        <v>34521.52</v>
      </c>
      <c r="G15" s="38">
        <f>E15/D15-1</f>
        <v/>
      </c>
      <c r="H15" s="39">
        <f>E15/C15-1</f>
        <v/>
      </c>
      <c r="J15" s="40">
        <f>E15-D15</f>
        <v/>
      </c>
      <c r="K15" s="41">
        <f>E15-C15</f>
        <v/>
      </c>
      <c r="M15" s="15">
        <f>C15/C16</f>
        <v/>
      </c>
      <c r="N15" s="42">
        <f>D15/D16</f>
        <v/>
      </c>
      <c r="O15" s="42">
        <f>E15/E16</f>
        <v/>
      </c>
      <c r="P15" s="15">
        <f>O15-N15</f>
        <v/>
      </c>
      <c r="Q15" s="15">
        <f>O15-M15</f>
        <v/>
      </c>
    </row>
    <row r="16" ht="14.25" customHeight="1" s="113">
      <c r="B16" s="1" t="inlineStr">
        <is>
          <t>TOTAL</t>
        </is>
      </c>
      <c r="C16" s="50">
        <f>SUM(C5:C15)</f>
        <v/>
      </c>
      <c r="D16" s="50">
        <f>SUM(D5:D15)</f>
        <v/>
      </c>
      <c r="E16" s="51">
        <f>SUM(E5:E15)</f>
        <v/>
      </c>
      <c r="G16" s="52">
        <f>E16/D16-1</f>
        <v/>
      </c>
      <c r="H16" s="53">
        <f>E16/C16-1</f>
        <v/>
      </c>
      <c r="J16" s="54">
        <f>E16-D16</f>
        <v/>
      </c>
      <c r="K16" s="55">
        <f>E16-C16</f>
        <v/>
      </c>
    </row>
    <row r="17" ht="14.25" customHeight="1" s="113"/>
    <row r="18" ht="14.25" customHeight="1" s="113">
      <c r="B18" s="1" t="inlineStr">
        <is>
          <t>CANAIS</t>
        </is>
      </c>
      <c r="C18" s="1" t="n">
        <v>2025</v>
      </c>
      <c r="D18" s="1" t="inlineStr">
        <is>
          <t>ORÇADO 2026</t>
        </is>
      </c>
      <c r="E18" s="2" t="n">
        <v>2026</v>
      </c>
      <c r="G18" s="2" t="inlineStr">
        <is>
          <t>% 26 X ORÇ.</t>
        </is>
      </c>
      <c r="H18" s="2" t="inlineStr">
        <is>
          <t>% 25 x 26</t>
        </is>
      </c>
      <c r="J18" s="2" t="inlineStr">
        <is>
          <t>DIF 26 X ORÇ.</t>
        </is>
      </c>
      <c r="K18" s="2" t="inlineStr">
        <is>
          <t>DIF 25 X 26</t>
        </is>
      </c>
      <c r="M18" s="28" t="inlineStr">
        <is>
          <t>% PART. 25</t>
        </is>
      </c>
      <c r="N18" s="28" t="inlineStr">
        <is>
          <t>% PART. 26 ORÇ.</t>
        </is>
      </c>
      <c r="O18" s="28" t="inlineStr">
        <is>
          <t>% PART. 26</t>
        </is>
      </c>
      <c r="P18" s="28" t="inlineStr">
        <is>
          <t>p.p 2026</t>
        </is>
      </c>
      <c r="Q18" s="3" t="inlineStr">
        <is>
          <t>% VAR</t>
        </is>
      </c>
    </row>
    <row r="19" ht="14.25" customHeight="1" s="113">
      <c r="B19" s="16" t="inlineStr">
        <is>
          <t>OFFLINE</t>
        </is>
      </c>
      <c r="C19" s="43">
        <f>C5+C6+C7+C8</f>
        <v/>
      </c>
      <c r="D19" s="43">
        <f>D5+D6+D7+D8</f>
        <v/>
      </c>
      <c r="E19" s="44">
        <f>E5+E6+E7+E8</f>
        <v/>
      </c>
      <c r="G19" s="45">
        <f>E19/D19-1</f>
        <v/>
      </c>
      <c r="H19" s="46">
        <f>E19/C19-1</f>
        <v/>
      </c>
      <c r="J19" s="47">
        <f>E19-D19</f>
        <v/>
      </c>
      <c r="K19" s="48">
        <f>E19-C19</f>
        <v/>
      </c>
      <c r="M19" s="9">
        <f>M5+M6</f>
        <v/>
      </c>
      <c r="N19" s="35">
        <f>D19/D21</f>
        <v/>
      </c>
      <c r="O19" s="35">
        <f>O5+O6</f>
        <v/>
      </c>
      <c r="P19" s="35">
        <f>O19-N19</f>
        <v/>
      </c>
      <c r="Q19" s="9">
        <f>O19-M19</f>
        <v/>
      </c>
    </row>
    <row r="20" ht="14.25" customHeight="1" s="113">
      <c r="B20" s="10" t="inlineStr">
        <is>
          <t>ONLINE</t>
        </is>
      </c>
      <c r="C20" s="36">
        <f>C9+C10+C11+C12+C13+C14+C15</f>
        <v/>
      </c>
      <c r="D20" s="36">
        <f>D9+D10+D11+D12+D13+D14+D15</f>
        <v/>
      </c>
      <c r="E20" s="37">
        <f>E9+E10+E11+E12+E13+E14+E15</f>
        <v/>
      </c>
      <c r="G20" s="45">
        <f>E20/D20-1</f>
        <v/>
      </c>
      <c r="H20" s="46">
        <f>E20/C20-1</f>
        <v/>
      </c>
      <c r="J20" s="47">
        <f>E20-D20</f>
        <v/>
      </c>
      <c r="K20" s="48">
        <f>E20-C20</f>
        <v/>
      </c>
      <c r="M20" s="15">
        <f>M9+M10+M11+M12+M13+M14+M15</f>
        <v/>
      </c>
      <c r="N20" s="42">
        <f>D20/D21</f>
        <v/>
      </c>
      <c r="O20" s="42">
        <f>O9+O10+O11+O12+O13+O14+O15</f>
        <v/>
      </c>
      <c r="P20" s="42">
        <f>O20-N20</f>
        <v/>
      </c>
      <c r="Q20" s="15">
        <f>O20-M20</f>
        <v/>
      </c>
    </row>
    <row r="21" ht="14.25" customHeight="1" s="113">
      <c r="B21" s="1" t="inlineStr">
        <is>
          <t>TOTAL</t>
        </is>
      </c>
      <c r="C21" s="56">
        <f>C19+C20</f>
        <v/>
      </c>
      <c r="D21" s="56">
        <f>D19+D20</f>
        <v/>
      </c>
      <c r="E21" s="56">
        <f>E19+E20</f>
        <v/>
      </c>
      <c r="G21" s="52">
        <f>E21/D21-1</f>
        <v/>
      </c>
      <c r="H21" s="53">
        <f>E21/C21-1</f>
        <v/>
      </c>
      <c r="J21" s="54">
        <f>E21-D21</f>
        <v/>
      </c>
      <c r="K21" s="55">
        <f>E21-C21</f>
        <v/>
      </c>
    </row>
    <row r="22" ht="14.25" customHeight="1" s="113"/>
    <row r="23" ht="14.25" customHeight="1" s="113"/>
    <row r="24" ht="14.25" customHeight="1" s="113">
      <c r="B24" s="28" t="inlineStr">
        <is>
          <t>CANAIS</t>
        </is>
      </c>
      <c r="C24" s="28" t="inlineStr">
        <is>
          <t>TM 2025</t>
        </is>
      </c>
      <c r="D24" s="3" t="inlineStr">
        <is>
          <t>TM 2026</t>
        </is>
      </c>
      <c r="E24" s="3" t="inlineStr">
        <is>
          <t>% 25 x 26</t>
        </is>
      </c>
      <c r="G24" s="3" t="inlineStr">
        <is>
          <t>DIF 25 X 26</t>
        </is>
      </c>
      <c r="H24" s="60" t="n"/>
      <c r="J24" s="60" t="n"/>
      <c r="K24" s="60" t="n"/>
    </row>
    <row r="25" ht="14.25" customHeight="1" s="113">
      <c r="B25" s="4" t="inlineStr">
        <is>
          <t>GUICHÊS PRÓPRIOS UTP</t>
        </is>
      </c>
      <c r="C25" s="61" t="n">
        <v>66.01000000000001</v>
      </c>
      <c r="D25" s="62" t="n">
        <v>68.59</v>
      </c>
      <c r="E25" s="7">
        <f>D25/C25-1</f>
        <v/>
      </c>
      <c r="G25" s="63">
        <f>D25-C25</f>
        <v/>
      </c>
      <c r="H25" s="64" t="n"/>
      <c r="J25" s="64" t="n"/>
      <c r="K25" s="64" t="n"/>
    </row>
    <row r="26" ht="14.25" customHeight="1" s="113">
      <c r="B26" s="16" t="inlineStr">
        <is>
          <t>GUICHÊS TERCEIROS UTP</t>
        </is>
      </c>
      <c r="C26" s="68" t="n">
        <v>73.56</v>
      </c>
      <c r="D26" s="69" t="n">
        <v>79.65000000000001</v>
      </c>
      <c r="E26" s="13">
        <f>D26/C26-1</f>
        <v/>
      </c>
      <c r="G26" s="70">
        <f>D26-C26</f>
        <v/>
      </c>
      <c r="H26" s="64" t="n"/>
      <c r="J26" s="64" t="n"/>
      <c r="K26" s="64" t="n"/>
    </row>
    <row r="27" ht="14.25" customHeight="1" s="113">
      <c r="B27" s="16" t="inlineStr">
        <is>
          <t>VENDA CORPORATIVA</t>
        </is>
      </c>
      <c r="C27" s="68" t="n">
        <v>41.82</v>
      </c>
      <c r="D27" s="69" t="n">
        <v>40.55</v>
      </c>
      <c r="E27" s="13">
        <f>D27/C27-1</f>
        <v/>
      </c>
      <c r="G27" s="70">
        <f>D27-C27</f>
        <v/>
      </c>
      <c r="H27" s="64" t="n"/>
      <c r="J27" s="64" t="n"/>
      <c r="K27" s="64" t="n"/>
    </row>
    <row r="28" ht="14.25" customHeight="1" s="113">
      <c r="B28" s="10" t="inlineStr">
        <is>
          <t>VENDA EMBARCADA</t>
        </is>
      </c>
      <c r="C28" s="65" t="n">
        <v>27.68</v>
      </c>
      <c r="D28" s="66" t="n">
        <v>31.98</v>
      </c>
      <c r="E28" s="86">
        <f>D28/C28-1</f>
        <v/>
      </c>
      <c r="G28" s="67">
        <f>D28-C28</f>
        <v/>
      </c>
      <c r="H28" s="64" t="n"/>
      <c r="J28" s="64" t="n"/>
      <c r="K28" s="64" t="n"/>
    </row>
    <row r="29" ht="14.25" customHeight="1" s="113">
      <c r="B29" s="16" t="inlineStr">
        <is>
          <t>SITES PRÓPRIOS UTP</t>
        </is>
      </c>
      <c r="C29" s="68" t="n">
        <v>91.31</v>
      </c>
      <c r="D29" s="69" t="n">
        <v>93.77</v>
      </c>
      <c r="E29" s="46">
        <f>D29/C29-1</f>
        <v/>
      </c>
      <c r="G29" s="70">
        <f>D29-C29</f>
        <v/>
      </c>
      <c r="H29" s="64" t="n"/>
      <c r="J29" s="64" t="n"/>
      <c r="K29" s="64" t="n"/>
    </row>
    <row r="30" ht="14.25" customHeight="1" s="113">
      <c r="B30" s="16" t="inlineStr">
        <is>
          <t>SITES TERCEIROS UTP</t>
        </is>
      </c>
      <c r="C30" s="68" t="n">
        <v>97.31</v>
      </c>
      <c r="D30" s="69" t="n">
        <v>96.08</v>
      </c>
      <c r="E30" s="46">
        <f>D30/C30-1</f>
        <v/>
      </c>
      <c r="G30" s="70">
        <f>D30-C30</f>
        <v/>
      </c>
      <c r="H30" s="64" t="n"/>
      <c r="J30" s="64" t="n"/>
      <c r="K30" s="64" t="n"/>
    </row>
    <row r="31" ht="14.25" customHeight="1" s="113">
      <c r="B31" s="16" t="inlineStr">
        <is>
          <t>OUTLET DE PASSAGENS</t>
        </is>
      </c>
      <c r="C31" s="68" t="n">
        <v>57.52</v>
      </c>
      <c r="D31" s="69" t="n">
        <v>68.97</v>
      </c>
      <c r="E31" s="46">
        <f>D31/C31-1</f>
        <v/>
      </c>
      <c r="G31" s="70">
        <f>D31-C31</f>
        <v/>
      </c>
      <c r="H31" s="64" t="n"/>
      <c r="J31" s="64" t="n"/>
      <c r="K31" s="64" t="n"/>
    </row>
    <row r="32" ht="14.25" customHeight="1" s="113">
      <c r="B32" s="16" t="inlineStr">
        <is>
          <t>CLUBE GIRO</t>
        </is>
      </c>
      <c r="C32" s="68" t="n">
        <v>61.98</v>
      </c>
      <c r="D32" s="69" t="n">
        <v>69.23999999999999</v>
      </c>
      <c r="E32" s="46">
        <f>D32/C32-1</f>
        <v/>
      </c>
      <c r="G32" s="70">
        <f>D32-C32</f>
        <v/>
      </c>
      <c r="H32" s="64" t="n"/>
      <c r="J32" s="64" t="n"/>
      <c r="K32" s="64" t="n"/>
    </row>
    <row r="33" ht="14.25" customHeight="1" s="113">
      <c r="B33" s="16" t="inlineStr">
        <is>
          <t>WEMOBI</t>
        </is>
      </c>
      <c r="C33" s="68" t="n">
        <v>88.51000000000001</v>
      </c>
      <c r="D33" s="69" t="n">
        <v>87.64</v>
      </c>
      <c r="E33" s="46">
        <f>D33/C33-1</f>
        <v/>
      </c>
      <c r="G33" s="70">
        <f>D33-C33</f>
        <v/>
      </c>
      <c r="H33" s="64" t="n"/>
      <c r="J33" s="64" t="n"/>
      <c r="K33" s="64" t="n"/>
    </row>
    <row r="34" ht="14.25" customHeight="1" s="113">
      <c r="B34" s="16" t="inlineStr">
        <is>
          <t>TOTEM</t>
        </is>
      </c>
      <c r="C34" s="68" t="n">
        <v>61.52</v>
      </c>
      <c r="D34" s="69" t="n">
        <v>68.92</v>
      </c>
      <c r="E34" s="46">
        <f>D34/C34-1</f>
        <v/>
      </c>
      <c r="G34" s="70">
        <f>D34-C34</f>
        <v/>
      </c>
      <c r="H34" s="64" t="n"/>
      <c r="J34" s="64" t="n"/>
      <c r="K34" s="64" t="n"/>
    </row>
    <row r="35" ht="14.25" customHeight="1" s="113">
      <c r="B35" s="10" t="inlineStr">
        <is>
          <t>GIPSYY</t>
        </is>
      </c>
      <c r="C35" s="65" t="n">
        <v>113.78</v>
      </c>
      <c r="D35" s="66" t="n">
        <v>174.88</v>
      </c>
      <c r="E35" s="39">
        <f>D35/C35-1</f>
        <v/>
      </c>
      <c r="G35" s="70">
        <f>D35-C35</f>
        <v/>
      </c>
      <c r="H35" s="64" t="n"/>
      <c r="J35" s="64" t="n"/>
      <c r="K35" s="64" t="n"/>
    </row>
    <row r="36" ht="14.25" customHeight="1" s="113">
      <c r="B36" s="1" t="inlineStr">
        <is>
          <t>TOTAL</t>
        </is>
      </c>
      <c r="C36" s="56" t="n">
        <v>77.28</v>
      </c>
      <c r="D36" s="71" t="n">
        <v>80.98</v>
      </c>
      <c r="E36" s="53">
        <f>D36/C36-1</f>
        <v/>
      </c>
      <c r="G36" s="72">
        <f>D36-C36</f>
        <v/>
      </c>
    </row>
    <row r="37" ht="14.25" customHeight="1" s="113"/>
    <row r="38" ht="14.25" customHeight="1" s="113">
      <c r="B38" s="1" t="inlineStr">
        <is>
          <t>CANAIS</t>
        </is>
      </c>
      <c r="C38" s="1" t="inlineStr">
        <is>
          <t>TM 2025</t>
        </is>
      </c>
      <c r="D38" s="2" t="inlineStr">
        <is>
          <t>TM 2026</t>
        </is>
      </c>
      <c r="E38" s="2" t="inlineStr">
        <is>
          <t>% 25 x 26</t>
        </is>
      </c>
      <c r="G38" s="3" t="inlineStr">
        <is>
          <t>DIF 25 X 26</t>
        </is>
      </c>
      <c r="H38" s="60" t="n"/>
      <c r="J38" s="60" t="n"/>
      <c r="K38" s="60" t="n"/>
    </row>
    <row r="39" ht="14.25" customHeight="1" s="113">
      <c r="B39" s="4" t="inlineStr">
        <is>
          <t>OFFLINE</t>
        </is>
      </c>
      <c r="C39" s="61" t="n">
        <v>65.44</v>
      </c>
      <c r="D39" s="62" t="n">
        <v>69.29000000000001</v>
      </c>
      <c r="E39" s="32">
        <f>D39/C39-1</f>
        <v/>
      </c>
      <c r="G39" s="63">
        <f>D39-C39</f>
        <v/>
      </c>
      <c r="H39" s="64" t="n"/>
      <c r="J39" s="64" t="n"/>
      <c r="K39" s="64" t="n"/>
    </row>
    <row r="40" ht="14.25" customHeight="1" s="113">
      <c r="B40" s="10" t="inlineStr">
        <is>
          <t>ONLINE</t>
        </is>
      </c>
      <c r="C40" s="65" t="n">
        <v>89.40000000000001</v>
      </c>
      <c r="D40" s="66" t="n">
        <v>91.51000000000001</v>
      </c>
      <c r="E40" s="39">
        <f>D40/C40-1</f>
        <v/>
      </c>
      <c r="G40" s="67">
        <f>D40-C40</f>
        <v/>
      </c>
      <c r="H40" s="64" t="n"/>
      <c r="J40" s="64" t="n"/>
      <c r="K40" s="64" t="n"/>
    </row>
    <row r="41" ht="14.25" customHeight="1" s="113"/>
    <row r="42" ht="14.25" customHeight="1" s="113"/>
    <row r="43" ht="14.25" customHeight="1" s="113">
      <c r="B43" s="28" t="inlineStr">
        <is>
          <t>CANAIS</t>
        </is>
      </c>
      <c r="C43" s="28" t="inlineStr">
        <is>
          <t>PAX 2025</t>
        </is>
      </c>
      <c r="D43" s="3" t="inlineStr">
        <is>
          <t>PAX 2026</t>
        </is>
      </c>
      <c r="E43" s="3" t="inlineStr">
        <is>
          <t>% 25 x 26</t>
        </is>
      </c>
      <c r="G43" s="3" t="inlineStr">
        <is>
          <t>DIF 25 X 26</t>
        </is>
      </c>
      <c r="H43" s="60" t="n"/>
      <c r="J43" s="60" t="n"/>
      <c r="K43" s="60" t="n"/>
    </row>
    <row r="44" ht="14.25" customHeight="1" s="113">
      <c r="B44" s="4" t="inlineStr">
        <is>
          <t>GUICHÊS PRÓPRIOS UTP</t>
        </is>
      </c>
      <c r="C44" s="73" t="n">
        <v>581690</v>
      </c>
      <c r="D44" s="73" t="n">
        <v>549137</v>
      </c>
      <c r="E44" s="7">
        <f>D44/C44-1</f>
        <v/>
      </c>
      <c r="G44" s="75">
        <f>D44-C44</f>
        <v/>
      </c>
      <c r="H44" s="64" t="n"/>
      <c r="J44" s="64" t="n"/>
      <c r="K44" s="64" t="n"/>
    </row>
    <row r="45" ht="14.25" customHeight="1" s="113">
      <c r="B45" s="16" t="inlineStr">
        <is>
          <t>GUICHÊS TERCEIROS UTP</t>
        </is>
      </c>
      <c r="C45" s="79" t="n">
        <v>238887</v>
      </c>
      <c r="D45" s="79" t="n">
        <v>225229</v>
      </c>
      <c r="E45" s="13">
        <f>D45/C45-1</f>
        <v/>
      </c>
      <c r="G45" s="81">
        <f>D45-C45</f>
        <v/>
      </c>
      <c r="H45" s="64" t="n"/>
      <c r="J45" s="64" t="n"/>
      <c r="K45" s="64" t="n"/>
    </row>
    <row r="46" ht="14.25" customHeight="1" s="113">
      <c r="B46" s="16" t="inlineStr">
        <is>
          <t>VENDA CORPORATIVA</t>
        </is>
      </c>
      <c r="C46" s="79" t="n">
        <v>23645</v>
      </c>
      <c r="D46" s="79" t="n">
        <v>20846</v>
      </c>
      <c r="E46" s="13">
        <f>D46/C46-1</f>
        <v/>
      </c>
      <c r="G46" s="81">
        <f>D46-C46</f>
        <v/>
      </c>
      <c r="H46" s="64" t="n"/>
      <c r="J46" s="64" t="n"/>
      <c r="K46" s="64" t="n"/>
    </row>
    <row r="47" ht="14.25" customHeight="1" s="113">
      <c r="B47" s="10" t="inlineStr">
        <is>
          <t>VENDA EMBARCADA</t>
        </is>
      </c>
      <c r="C47" s="76" t="n">
        <v>46349</v>
      </c>
      <c r="D47" s="76" t="n">
        <v>40942</v>
      </c>
      <c r="E47" s="86">
        <f>D47/C47-1</f>
        <v/>
      </c>
      <c r="G47" s="78">
        <f>D47-C47</f>
        <v/>
      </c>
      <c r="H47" s="64" t="n"/>
      <c r="J47" s="64" t="n"/>
      <c r="K47" s="64" t="n"/>
    </row>
    <row r="48" ht="14.25" customHeight="1" s="113">
      <c r="B48" s="16" t="inlineStr">
        <is>
          <t>SITES PRÓPRIOS UTP</t>
        </is>
      </c>
      <c r="C48" s="79" t="n">
        <v>402372</v>
      </c>
      <c r="D48" s="80" t="n">
        <v>397852</v>
      </c>
      <c r="E48" s="46">
        <f>D48/C48-1</f>
        <v/>
      </c>
      <c r="G48" s="81">
        <f>D48-C48</f>
        <v/>
      </c>
      <c r="H48" s="64" t="n"/>
      <c r="J48" s="64" t="n"/>
      <c r="K48" s="64" t="n"/>
    </row>
    <row r="49" ht="14.25" customHeight="1" s="113">
      <c r="B49" s="16" t="inlineStr">
        <is>
          <t>SITES TERCEIROS UTP</t>
        </is>
      </c>
      <c r="C49" s="79" t="n">
        <v>294606</v>
      </c>
      <c r="D49" s="80" t="n">
        <v>355364</v>
      </c>
      <c r="E49" s="46">
        <f>D49/C49-1</f>
        <v/>
      </c>
      <c r="G49" s="81">
        <f>D49-C49</f>
        <v/>
      </c>
      <c r="H49" s="64" t="n"/>
      <c r="J49" s="64" t="n"/>
      <c r="K49" s="64" t="n"/>
    </row>
    <row r="50" ht="14.25" customHeight="1" s="113">
      <c r="B50" s="16" t="inlineStr">
        <is>
          <t>OUTLET DE PASSAGENS</t>
        </is>
      </c>
      <c r="C50" s="79" t="n">
        <v>28932</v>
      </c>
      <c r="D50" s="80" t="n">
        <v>31949</v>
      </c>
      <c r="E50" s="46">
        <f>D50/C50-1</f>
        <v/>
      </c>
      <c r="G50" s="81">
        <f>D50-C50</f>
        <v/>
      </c>
      <c r="H50" s="64" t="n"/>
      <c r="J50" s="64" t="n"/>
      <c r="K50" s="64" t="n"/>
    </row>
    <row r="51" ht="14.25" customHeight="1" s="113">
      <c r="B51" s="16" t="inlineStr">
        <is>
          <t>CLUBE GIRO</t>
        </is>
      </c>
      <c r="C51" s="79" t="n">
        <v>49585</v>
      </c>
      <c r="D51" s="80" t="n">
        <v>53810</v>
      </c>
      <c r="E51" s="46">
        <f>D51/C51-1</f>
        <v/>
      </c>
      <c r="G51" s="81">
        <f>D51-C51</f>
        <v/>
      </c>
      <c r="H51" s="64" t="n"/>
      <c r="J51" s="64" t="n"/>
      <c r="K51" s="64" t="n"/>
    </row>
    <row r="52" ht="14.25" customHeight="1" s="113">
      <c r="B52" s="16" t="inlineStr">
        <is>
          <t>WEMOBI</t>
        </is>
      </c>
      <c r="C52" s="79" t="n">
        <v>16755</v>
      </c>
      <c r="D52" s="80" t="n">
        <v>18790</v>
      </c>
      <c r="E52" s="46">
        <f>D52/C52-1</f>
        <v/>
      </c>
      <c r="G52" s="81">
        <f>D52-C52</f>
        <v/>
      </c>
      <c r="H52" s="64" t="n"/>
      <c r="J52" s="64" t="n"/>
      <c r="K52" s="64" t="n"/>
    </row>
    <row r="53" ht="14.25" customHeight="1" s="113">
      <c r="B53" s="16" t="inlineStr">
        <is>
          <t>TOTEM</t>
        </is>
      </c>
      <c r="C53" s="79" t="n">
        <v>28463</v>
      </c>
      <c r="D53" s="80" t="n">
        <v>28074</v>
      </c>
      <c r="E53" s="46">
        <f>D53/C53-1</f>
        <v/>
      </c>
      <c r="G53" s="81">
        <f>D53-C53</f>
        <v/>
      </c>
      <c r="H53" s="64" t="n"/>
      <c r="J53" s="64" t="n"/>
      <c r="K53" s="64" t="n"/>
    </row>
    <row r="54" ht="14.25" customHeight="1" s="113">
      <c r="B54" s="10" t="inlineStr">
        <is>
          <t>GIPSYY</t>
        </is>
      </c>
      <c r="C54" s="76" t="n">
        <v>216</v>
      </c>
      <c r="D54" s="77" t="n">
        <v>196</v>
      </c>
      <c r="E54" s="46">
        <f>D54/C54-1</f>
        <v/>
      </c>
      <c r="G54" s="81">
        <f>D54-C54</f>
        <v/>
      </c>
      <c r="H54" s="64" t="n"/>
      <c r="J54" s="64" t="n"/>
      <c r="K54" s="64" t="n"/>
    </row>
    <row r="55" ht="14.25" customHeight="1" s="113">
      <c r="B55" s="1" t="inlineStr">
        <is>
          <t>TOTAL</t>
        </is>
      </c>
      <c r="C55" s="82">
        <f>SUM(C44:C54)</f>
        <v/>
      </c>
      <c r="D55" s="83">
        <f>SUM(D44:D54)</f>
        <v/>
      </c>
      <c r="E55" s="53">
        <f>D55/C55-1</f>
        <v/>
      </c>
      <c r="G55" s="84">
        <f>D55-C55</f>
        <v/>
      </c>
    </row>
    <row r="56" ht="14.25" customHeight="1" s="113"/>
    <row r="57" ht="14.25" customHeight="1" s="113">
      <c r="B57" s="1" t="inlineStr">
        <is>
          <t>CANAIS</t>
        </is>
      </c>
      <c r="C57" s="1" t="inlineStr">
        <is>
          <t>PAX 2025</t>
        </is>
      </c>
      <c r="D57" s="2" t="inlineStr">
        <is>
          <t>PAX 2026</t>
        </is>
      </c>
      <c r="E57" s="2" t="inlineStr">
        <is>
          <t>% 25 x 26</t>
        </is>
      </c>
      <c r="G57" s="2" t="inlineStr">
        <is>
          <t>DIF 25 X 26</t>
        </is>
      </c>
      <c r="H57" s="60" t="n"/>
      <c r="J57" s="60" t="n"/>
      <c r="K57" s="60" t="n"/>
    </row>
    <row r="58" ht="14.25" customHeight="1" s="113">
      <c r="B58" s="16" t="inlineStr">
        <is>
          <t>OFFLINE</t>
        </is>
      </c>
      <c r="C58" s="79">
        <f>C44+C47+C45+C46</f>
        <v/>
      </c>
      <c r="D58" s="80">
        <f>D44+D47+D45+D46</f>
        <v/>
      </c>
      <c r="E58" s="46">
        <f>D58/C58-1</f>
        <v/>
      </c>
      <c r="G58" s="81">
        <f>D58-C58</f>
        <v/>
      </c>
      <c r="H58" s="64" t="n"/>
      <c r="J58" s="64" t="n"/>
      <c r="K58" s="64" t="n"/>
    </row>
    <row r="59" ht="14.25" customHeight="1" s="113">
      <c r="B59" s="10" t="inlineStr">
        <is>
          <t>ONLINE</t>
        </is>
      </c>
      <c r="C59" s="76">
        <f>C48+C49+C50+C51+C52+C53+C54</f>
        <v/>
      </c>
      <c r="D59" s="77">
        <f>D48+D49+D50+D51+D52+D53+D54</f>
        <v/>
      </c>
      <c r="E59" s="46">
        <f>D59/C59-1</f>
        <v/>
      </c>
      <c r="G59" s="81">
        <f>D59-C59</f>
        <v/>
      </c>
      <c r="H59" s="64" t="n"/>
      <c r="J59" s="64" t="n"/>
      <c r="K59" s="64" t="n"/>
    </row>
    <row r="60" ht="14.25" customHeight="1" s="113">
      <c r="B60" s="1" t="inlineStr">
        <is>
          <t>TOTAL</t>
        </is>
      </c>
      <c r="C60" s="82">
        <f>C58+C59</f>
        <v/>
      </c>
      <c r="D60" s="82">
        <f>D58+D59</f>
        <v/>
      </c>
      <c r="E60" s="53">
        <f>D60/C60-1</f>
        <v/>
      </c>
      <c r="G60" s="84">
        <f>D60-C60</f>
        <v/>
      </c>
    </row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Q60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1.88671875" customWidth="1" style="113" min="1" max="1"/>
    <col width="21.6640625" customWidth="1" style="113" min="2" max="2"/>
    <col width="15.109375" customWidth="1" style="113" min="3" max="5"/>
    <col width="1" customWidth="1" style="113" min="6" max="6"/>
    <col width="13.44140625" customWidth="1" style="113" min="7" max="7"/>
    <col width="10.6640625" customWidth="1" style="113" min="8" max="8"/>
    <col width="0.5546875" customWidth="1" style="113" min="9" max="9"/>
    <col width="14.6640625" customWidth="1" style="113" min="10" max="10"/>
    <col width="15.6640625" customWidth="1" style="113" min="11" max="11"/>
    <col width="0.5546875" customWidth="1" style="113" min="12" max="12"/>
    <col width="11.33203125" customWidth="1" style="113" min="13" max="13"/>
    <col width="11" customWidth="1" style="113" min="14" max="14"/>
    <col width="10" customWidth="1" style="113" min="15" max="15"/>
    <col width="8.44140625" customWidth="1" style="113" min="16" max="16"/>
    <col width="9.441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- 28/02/2026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2025</v>
      </c>
      <c r="D4" s="1" t="inlineStr">
        <is>
          <t>ORÇADO 2026</t>
        </is>
      </c>
      <c r="E4" s="2" t="n">
        <v>2026</v>
      </c>
      <c r="G4" s="2" t="inlineStr">
        <is>
          <t>% 26 X ORÇ.</t>
        </is>
      </c>
      <c r="H4" s="2" t="inlineStr">
        <is>
          <t>% 25 x 26</t>
        </is>
      </c>
      <c r="J4" s="2" t="inlineStr">
        <is>
          <t>DIF 26 X ORÇ.</t>
        </is>
      </c>
      <c r="K4" s="2" t="inlineStr">
        <is>
          <t>DIF 25 X 26</t>
        </is>
      </c>
      <c r="M4" s="28" t="inlineStr">
        <is>
          <t>% PART. 25</t>
        </is>
      </c>
      <c r="N4" s="28" t="inlineStr">
        <is>
          <t>% PART. 26 ORÇ.</t>
        </is>
      </c>
      <c r="O4" s="28" t="inlineStr">
        <is>
          <t>% PART. 26</t>
        </is>
      </c>
      <c r="P4" s="28" t="inlineStr">
        <is>
          <t>p.p 2026</t>
        </is>
      </c>
      <c r="Q4" s="3" t="inlineStr">
        <is>
          <t>p.p 25x26</t>
        </is>
      </c>
    </row>
    <row r="5" ht="14.25" customHeight="1" s="113">
      <c r="B5" s="4" t="inlineStr">
        <is>
          <t>GUICHÊS PRÓPRIOS UTP</t>
        </is>
      </c>
      <c r="C5" s="29" t="n">
        <v>31490469.31</v>
      </c>
      <c r="D5" s="29" t="n">
        <v>34969677.7355862</v>
      </c>
      <c r="E5" s="30" t="n">
        <v>31220333.7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C5/C16</f>
        <v/>
      </c>
      <c r="N5" s="35">
        <f>D5/D16</f>
        <v/>
      </c>
      <c r="O5" s="35">
        <f>E5/E16</f>
        <v/>
      </c>
      <c r="P5" s="9">
        <f>O5-N5</f>
        <v/>
      </c>
      <c r="Q5" s="9">
        <f>O5-M5</f>
        <v/>
      </c>
    </row>
    <row r="6" ht="14.25" customHeight="1" s="113">
      <c r="B6" s="16" t="inlineStr">
        <is>
          <t>GUICHÊS TERCEIROS UTP</t>
        </is>
      </c>
      <c r="C6" s="43" t="n">
        <v>14498058.87</v>
      </c>
      <c r="D6" s="43" t="n">
        <v>10640877.00338614</v>
      </c>
      <c r="E6" s="44" t="n">
        <v>13566107.87</v>
      </c>
      <c r="G6" s="45">
        <f>E6/D6-1</f>
        <v/>
      </c>
      <c r="H6" s="46">
        <f>E6/C6-1</f>
        <v/>
      </c>
      <c r="J6" s="47">
        <f>E6-D6</f>
        <v/>
      </c>
      <c r="K6" s="48">
        <f>E6-C6</f>
        <v/>
      </c>
      <c r="M6" s="19">
        <f>C6/C16</f>
        <v/>
      </c>
      <c r="N6" s="49">
        <f>D6/D16</f>
        <v/>
      </c>
      <c r="O6" s="49">
        <f>E6/E16</f>
        <v/>
      </c>
      <c r="P6" s="19">
        <f>O6-N6</f>
        <v/>
      </c>
      <c r="Q6" s="19">
        <f>O6-M6</f>
        <v/>
      </c>
    </row>
    <row r="7" ht="14.25" customHeight="1" s="113">
      <c r="B7" s="16" t="inlineStr">
        <is>
          <t>VENDA CORPORATIVA</t>
        </is>
      </c>
      <c r="C7" s="43" t="n">
        <v>944395.84</v>
      </c>
      <c r="D7" s="43" t="n">
        <v>584319.5052687131</v>
      </c>
      <c r="E7" s="44" t="n">
        <v>977447.9399999999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19">
        <f>C7/C16</f>
        <v/>
      </c>
      <c r="N7" s="49">
        <f>D7/D16</f>
        <v/>
      </c>
      <c r="O7" s="49">
        <f>E7/E16</f>
        <v/>
      </c>
      <c r="P7" s="19">
        <f>O7-N7</f>
        <v/>
      </c>
      <c r="Q7" s="19">
        <f>O7-M7</f>
        <v/>
      </c>
    </row>
    <row r="8" ht="14.25" customHeight="1" s="113">
      <c r="B8" s="10" t="inlineStr">
        <is>
          <t>VENDA EMBARCADA</t>
        </is>
      </c>
      <c r="C8" s="36" t="n">
        <v>1209665.4</v>
      </c>
      <c r="D8" s="36" t="n">
        <v>520468.1399223325</v>
      </c>
      <c r="E8" s="37" t="n">
        <v>975519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C8/C16</f>
        <v/>
      </c>
      <c r="N8" s="49">
        <f>D8/D16</f>
        <v/>
      </c>
      <c r="O8" s="49">
        <f>E8/E16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SITES PRÓPRIOS UTP</t>
        </is>
      </c>
      <c r="C9" s="43" t="n">
        <v>27191479.12</v>
      </c>
      <c r="D9" s="43" t="n">
        <v>31250484.40172</v>
      </c>
      <c r="E9" s="44" t="n">
        <v>30647508.79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C9/C16</f>
        <v/>
      </c>
      <c r="N9" s="49">
        <f>D9/D16</f>
        <v/>
      </c>
      <c r="O9" s="49">
        <f>E9/E16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SITES TERCEIROS UTP</t>
        </is>
      </c>
      <c r="C10" s="43" t="n">
        <v>23707362.56</v>
      </c>
      <c r="D10" s="43" t="n">
        <v>26392218.53674653</v>
      </c>
      <c r="E10" s="44" t="n">
        <v>29561759.18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C10/C16</f>
        <v/>
      </c>
      <c r="N10" s="49">
        <f>D10/D16</f>
        <v/>
      </c>
      <c r="O10" s="49">
        <f>E10/E16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OUTLET DE PASSAGENS</t>
        </is>
      </c>
      <c r="C11" s="43" t="n">
        <v>1454972.27</v>
      </c>
      <c r="D11" s="43" t="n">
        <v>2177786.49062195</v>
      </c>
      <c r="E11" s="44" t="n">
        <v>1656017.3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C11/C16</f>
        <v/>
      </c>
      <c r="N11" s="49">
        <f>D11/D16</f>
        <v/>
      </c>
      <c r="O11" s="49">
        <f>E11/E16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CLUBE GIRO</t>
        </is>
      </c>
      <c r="C12" s="43" t="n">
        <v>2947112.42</v>
      </c>
      <c r="D12" s="43" t="n">
        <v>3427206.958087212</v>
      </c>
      <c r="E12" s="44" t="n">
        <v>3408743.09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C12/C16</f>
        <v/>
      </c>
      <c r="N12" s="49">
        <f>D12/D16</f>
        <v/>
      </c>
      <c r="O12" s="49">
        <f>E12/E16</f>
        <v/>
      </c>
      <c r="P12" s="19">
        <f>O12-N12</f>
        <v/>
      </c>
      <c r="Q12" s="19">
        <f>O12-M12</f>
        <v/>
      </c>
    </row>
    <row r="13" ht="14.25" customHeight="1" s="113">
      <c r="B13" s="16" t="inlineStr">
        <is>
          <t>WEMOBI</t>
        </is>
      </c>
      <c r="C13" s="43" t="n">
        <v>1161707.08</v>
      </c>
      <c r="D13" s="43" t="n">
        <v>2011986.540079377</v>
      </c>
      <c r="E13" s="44" t="n">
        <v>1253641.23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9">
        <f>C13/C16</f>
        <v/>
      </c>
      <c r="N13" s="49">
        <f>D13/D16</f>
        <v/>
      </c>
      <c r="O13" s="49">
        <f>E13/E16</f>
        <v/>
      </c>
      <c r="P13" s="19">
        <f>O13-N13</f>
        <v/>
      </c>
      <c r="Q13" s="19">
        <f>O13-M13</f>
        <v/>
      </c>
    </row>
    <row r="14" ht="14.25" customHeight="1" s="113">
      <c r="B14" s="16" t="inlineStr">
        <is>
          <t>TOTEM</t>
        </is>
      </c>
      <c r="C14" s="43" t="n">
        <v>1485064.29</v>
      </c>
      <c r="D14" s="43" t="n">
        <v>1995925.09865</v>
      </c>
      <c r="E14" s="44" t="n">
        <v>1580131.74</v>
      </c>
      <c r="G14" s="45">
        <f>E14/D14-1</f>
        <v/>
      </c>
      <c r="H14" s="46">
        <f>E14/C14-1</f>
        <v/>
      </c>
      <c r="J14" s="47">
        <f>E14-D14</f>
        <v/>
      </c>
      <c r="K14" s="48">
        <f>E14-C14</f>
        <v/>
      </c>
      <c r="M14" s="19">
        <f>C14/C16</f>
        <v/>
      </c>
      <c r="N14" s="49">
        <f>D14/D16</f>
        <v/>
      </c>
      <c r="O14" s="49">
        <f>E14/E16</f>
        <v/>
      </c>
      <c r="P14" s="19">
        <f>O14-N14</f>
        <v/>
      </c>
      <c r="Q14" s="19">
        <f>O14-M14</f>
        <v/>
      </c>
    </row>
    <row r="15" ht="14.25" customHeight="1" s="113">
      <c r="B15" s="10" t="inlineStr">
        <is>
          <t>GIPSYY</t>
        </is>
      </c>
      <c r="C15" s="36" t="n">
        <v>12236.28</v>
      </c>
      <c r="D15" s="36" t="n">
        <v>81912.36993154888</v>
      </c>
      <c r="E15" s="37" t="n">
        <v>20917.31</v>
      </c>
      <c r="G15" s="38">
        <f>E15/D15-1</f>
        <v/>
      </c>
      <c r="H15" s="39">
        <f>E15/C15-1</f>
        <v/>
      </c>
      <c r="J15" s="40">
        <f>E15-D15</f>
        <v/>
      </c>
      <c r="K15" s="41">
        <f>E15-C15</f>
        <v/>
      </c>
      <c r="M15" s="15">
        <f>C15/C16</f>
        <v/>
      </c>
      <c r="N15" s="42">
        <f>D15/D16</f>
        <v/>
      </c>
      <c r="O15" s="42">
        <f>E15/E16</f>
        <v/>
      </c>
      <c r="P15" s="15">
        <f>O15-N15</f>
        <v/>
      </c>
      <c r="Q15" s="15">
        <f>O15-M15</f>
        <v/>
      </c>
    </row>
    <row r="16" ht="14.25" customHeight="1" s="113">
      <c r="B16" s="1" t="inlineStr">
        <is>
          <t>TOTAL</t>
        </is>
      </c>
      <c r="C16" s="50">
        <f>SUM(C5:C15)</f>
        <v/>
      </c>
      <c r="D16" s="50">
        <f>SUM(D5:D15)</f>
        <v/>
      </c>
      <c r="E16" s="51">
        <f>SUM(E5:E15)</f>
        <v/>
      </c>
      <c r="G16" s="52">
        <f>E16/D16-1</f>
        <v/>
      </c>
      <c r="H16" s="53">
        <f>E16/C16-1</f>
        <v/>
      </c>
      <c r="J16" s="54">
        <f>E16-D16</f>
        <v/>
      </c>
      <c r="K16" s="55">
        <f>E16-C16</f>
        <v/>
      </c>
    </row>
    <row r="17" ht="14.25" customHeight="1" s="113">
      <c r="C17" s="43" t="n"/>
      <c r="D17" s="43" t="n"/>
      <c r="E17" s="44" t="n"/>
    </row>
    <row r="18" ht="14.25" customHeight="1" s="113">
      <c r="B18" s="1" t="inlineStr">
        <is>
          <t>CANAIS</t>
        </is>
      </c>
      <c r="C18" s="1" t="n">
        <v>2025</v>
      </c>
      <c r="D18" s="1" t="inlineStr">
        <is>
          <t>ORÇADO 2026</t>
        </is>
      </c>
      <c r="E18" s="2" t="n">
        <v>2026</v>
      </c>
      <c r="G18" s="2" t="inlineStr">
        <is>
          <t>% 26 X ORÇ.</t>
        </is>
      </c>
      <c r="H18" s="2" t="inlineStr">
        <is>
          <t>% 25 x 26</t>
        </is>
      </c>
      <c r="J18" s="2" t="inlineStr">
        <is>
          <t>DIF 26 X ORÇ.</t>
        </is>
      </c>
      <c r="K18" s="2" t="inlineStr">
        <is>
          <t>DIF 25 X 26</t>
        </is>
      </c>
      <c r="M18" s="28" t="inlineStr">
        <is>
          <t>% PART. 25</t>
        </is>
      </c>
      <c r="N18" s="28" t="inlineStr">
        <is>
          <t>% PART. 26 ORÇ.</t>
        </is>
      </c>
      <c r="O18" s="28" t="inlineStr">
        <is>
          <t>% PART. 26</t>
        </is>
      </c>
      <c r="P18" s="28" t="inlineStr">
        <is>
          <t>p.p 2026</t>
        </is>
      </c>
      <c r="Q18" s="3" t="inlineStr">
        <is>
          <t>% VAR</t>
        </is>
      </c>
    </row>
    <row r="19" ht="14.25" customHeight="1" s="113">
      <c r="B19" s="16" t="inlineStr">
        <is>
          <t>OFFLINE</t>
        </is>
      </c>
      <c r="C19" s="43">
        <f>C5+C6+C7+C8</f>
        <v/>
      </c>
      <c r="D19" s="43">
        <f>D5+D6+D7+D8</f>
        <v/>
      </c>
      <c r="E19" s="44">
        <f>E5+E6+E7+E8</f>
        <v/>
      </c>
      <c r="G19" s="45">
        <f>E19/D19-1</f>
        <v/>
      </c>
      <c r="H19" s="46">
        <f>E19/C19-1</f>
        <v/>
      </c>
      <c r="J19" s="47">
        <f>E19-D19</f>
        <v/>
      </c>
      <c r="K19" s="48">
        <f>E19-C19</f>
        <v/>
      </c>
      <c r="M19" s="9">
        <f>M5+M6+M7+M8</f>
        <v/>
      </c>
      <c r="N19" s="35">
        <f>D19/D21</f>
        <v/>
      </c>
      <c r="O19" s="35">
        <f>O5+O6+O7+O8</f>
        <v/>
      </c>
      <c r="P19" s="35">
        <f>O19-N19</f>
        <v/>
      </c>
      <c r="Q19" s="9">
        <f>O19-M19</f>
        <v/>
      </c>
    </row>
    <row r="20" ht="14.25" customHeight="1" s="113">
      <c r="B20" s="10" t="inlineStr">
        <is>
          <t>ONLINE</t>
        </is>
      </c>
      <c r="C20" s="36">
        <f>C9+C10+C11+C12+C13+C14+C15</f>
        <v/>
      </c>
      <c r="D20" s="36">
        <f>D9+D10+D11+D12+D13+D14+D15</f>
        <v/>
      </c>
      <c r="E20" s="37">
        <f>E9+E10+E11+E12+E13+E14+E15</f>
        <v/>
      </c>
      <c r="G20" s="45">
        <f>E20/D20-1</f>
        <v/>
      </c>
      <c r="H20" s="46">
        <f>E20/C20-1</f>
        <v/>
      </c>
      <c r="J20" s="47">
        <f>E20-D20</f>
        <v/>
      </c>
      <c r="K20" s="48">
        <f>E20-C20</f>
        <v/>
      </c>
      <c r="M20" s="15">
        <f>M9+M10+M11+M12+M13+M14+M15</f>
        <v/>
      </c>
      <c r="N20" s="42">
        <f>D20/D21</f>
        <v/>
      </c>
      <c r="O20" s="42">
        <f>O9+O10+O11+O12+O13+O14+O15</f>
        <v/>
      </c>
      <c r="P20" s="42">
        <f>O20-N20</f>
        <v/>
      </c>
      <c r="Q20" s="15">
        <f>O20-M20</f>
        <v/>
      </c>
    </row>
    <row r="21" ht="14.25" customHeight="1" s="113">
      <c r="B21" s="1" t="inlineStr">
        <is>
          <t>TOTAL</t>
        </is>
      </c>
      <c r="C21" s="56">
        <f>C19+C20</f>
        <v/>
      </c>
      <c r="D21" s="56">
        <f>D19+D20</f>
        <v/>
      </c>
      <c r="E21" s="56">
        <f>E19+E20</f>
        <v/>
      </c>
      <c r="G21" s="52">
        <f>E21/D21-1</f>
        <v/>
      </c>
      <c r="H21" s="53">
        <f>E21/C21-1</f>
        <v/>
      </c>
      <c r="J21" s="54">
        <f>E21-D21</f>
        <v/>
      </c>
      <c r="K21" s="55">
        <f>E21-C21</f>
        <v/>
      </c>
    </row>
    <row r="22" ht="14.25" customHeight="1" s="113"/>
    <row r="23" ht="14.25" customHeight="1" s="113"/>
    <row r="24" ht="14.25" customHeight="1" s="113">
      <c r="B24" s="28" t="inlineStr">
        <is>
          <t>CANAIS</t>
        </is>
      </c>
      <c r="C24" s="28" t="inlineStr">
        <is>
          <t>TM 2025</t>
        </is>
      </c>
      <c r="D24" s="3" t="inlineStr">
        <is>
          <t>TM 2026</t>
        </is>
      </c>
      <c r="E24" s="3" t="inlineStr">
        <is>
          <t>% 25 x 26</t>
        </is>
      </c>
      <c r="G24" s="3" t="inlineStr">
        <is>
          <t>DIF 25 X 26</t>
        </is>
      </c>
      <c r="H24" s="60" t="n"/>
      <c r="J24" s="60" t="n"/>
      <c r="K24" s="60" t="n"/>
    </row>
    <row r="25" ht="14.25" customHeight="1" s="113">
      <c r="B25" s="4" t="inlineStr">
        <is>
          <t>GUICHÊS PRÓPRIOS UTP</t>
        </is>
      </c>
      <c r="C25" s="61" t="n">
        <v>62.55</v>
      </c>
      <c r="D25" s="62" t="n">
        <v>67.47</v>
      </c>
      <c r="E25" s="7">
        <f>D25/C25-1</f>
        <v/>
      </c>
      <c r="G25" s="63">
        <f>D25-C25</f>
        <v/>
      </c>
      <c r="H25" s="64" t="n"/>
      <c r="J25" s="64" t="n"/>
      <c r="K25" s="64" t="n"/>
    </row>
    <row r="26" ht="14.25" customHeight="1" s="113">
      <c r="B26" s="16" t="inlineStr">
        <is>
          <t>GUICHÊS TERCEIROS UTP</t>
        </is>
      </c>
      <c r="C26" s="68" t="n">
        <v>70.40000000000001</v>
      </c>
      <c r="D26" s="69" t="n">
        <v>77.58</v>
      </c>
      <c r="E26" s="13">
        <f>D26/C26-1</f>
        <v/>
      </c>
      <c r="G26" s="70">
        <f>D26-C26</f>
        <v/>
      </c>
      <c r="H26" s="64" t="n"/>
      <c r="J26" s="64" t="n"/>
      <c r="K26" s="64" t="n"/>
    </row>
    <row r="27" ht="14.25" customHeight="1" s="113">
      <c r="B27" s="16" t="inlineStr">
        <is>
          <t>VENDA CORPORATIVA</t>
        </is>
      </c>
      <c r="C27" s="68" t="n">
        <v>38.76</v>
      </c>
      <c r="D27" s="69" t="n">
        <v>41.16</v>
      </c>
      <c r="E27" s="13">
        <f>D27/C27-1</f>
        <v/>
      </c>
      <c r="G27" s="70">
        <f>D27-C27</f>
        <v/>
      </c>
      <c r="H27" s="64" t="n"/>
      <c r="J27" s="64" t="n"/>
      <c r="K27" s="64" t="n"/>
    </row>
    <row r="28" ht="14.25" customHeight="1" s="113">
      <c r="B28" s="10" t="inlineStr">
        <is>
          <t>VENDA EMBARCADA</t>
        </is>
      </c>
      <c r="C28" s="65" t="n">
        <v>27.83</v>
      </c>
      <c r="D28" s="66" t="n">
        <v>32.33</v>
      </c>
      <c r="E28" s="86">
        <f>D28/C28-1</f>
        <v/>
      </c>
      <c r="G28" s="67">
        <f>D28-C28</f>
        <v/>
      </c>
      <c r="H28" s="64" t="n"/>
      <c r="J28" s="64" t="n"/>
      <c r="K28" s="64" t="n"/>
    </row>
    <row r="29" ht="14.25" customHeight="1" s="113">
      <c r="B29" s="16" t="inlineStr">
        <is>
          <t>SITES PRÓPRIOS UTP</t>
        </is>
      </c>
      <c r="C29" s="68" t="n">
        <v>87.38</v>
      </c>
      <c r="D29" s="69" t="n">
        <v>91.29000000000001</v>
      </c>
      <c r="E29" s="46">
        <f>D29/C29-1</f>
        <v/>
      </c>
      <c r="G29" s="70">
        <f>D29-C29</f>
        <v/>
      </c>
      <c r="H29" s="64" t="n"/>
      <c r="J29" s="64" t="n"/>
      <c r="K29" s="64" t="n"/>
    </row>
    <row r="30" ht="14.25" customHeight="1" s="113">
      <c r="B30" s="16" t="inlineStr">
        <is>
          <t>SITES TERCEIROS UTP</t>
        </is>
      </c>
      <c r="C30" s="68" t="n">
        <v>94.48</v>
      </c>
      <c r="D30" s="69" t="n">
        <v>101.94</v>
      </c>
      <c r="E30" s="46">
        <f>D30/C30-1</f>
        <v/>
      </c>
      <c r="G30" s="70">
        <f>D30-C30</f>
        <v/>
      </c>
      <c r="H30" s="64" t="n"/>
      <c r="J30" s="64" t="n"/>
      <c r="K30" s="64" t="n"/>
    </row>
    <row r="31" ht="14.25" customHeight="1" s="113">
      <c r="B31" s="16" t="inlineStr">
        <is>
          <t>OUTLET DE PASSAGENS</t>
        </is>
      </c>
      <c r="C31" s="68" t="n">
        <v>59.71</v>
      </c>
      <c r="D31" s="69" t="n">
        <v>68.98999999999999</v>
      </c>
      <c r="E31" s="46">
        <f>D31/C31-1</f>
        <v/>
      </c>
      <c r="G31" s="70">
        <f>D31-C31</f>
        <v/>
      </c>
      <c r="H31" s="64" t="n"/>
      <c r="J31" s="64" t="n"/>
      <c r="K31" s="64" t="n"/>
    </row>
    <row r="32" ht="14.25" customHeight="1" s="113">
      <c r="B32" s="16" t="inlineStr">
        <is>
          <t>CLUBE GIRO</t>
        </is>
      </c>
      <c r="C32" s="68" t="n">
        <v>60.37</v>
      </c>
      <c r="D32" s="69" t="n">
        <v>72.27</v>
      </c>
      <c r="E32" s="46">
        <f>D32/C32-1</f>
        <v/>
      </c>
      <c r="G32" s="70">
        <f>D32-C32</f>
        <v/>
      </c>
      <c r="H32" s="64" t="n"/>
      <c r="J32" s="64" t="n"/>
      <c r="K32" s="64" t="n"/>
    </row>
    <row r="33" ht="14.25" customHeight="1" s="113">
      <c r="B33" s="16" t="inlineStr">
        <is>
          <t>WEMOBI</t>
        </is>
      </c>
      <c r="C33" s="68" t="n">
        <v>85.77</v>
      </c>
      <c r="D33" s="69" t="n">
        <v>92.91</v>
      </c>
      <c r="E33" s="46">
        <f>D33/C33-1</f>
        <v/>
      </c>
      <c r="G33" s="70">
        <f>D33-C33</f>
        <v/>
      </c>
      <c r="H33" s="64" t="n"/>
      <c r="J33" s="64" t="n"/>
      <c r="K33" s="64" t="n"/>
    </row>
    <row r="34" ht="14.25" customHeight="1" s="113">
      <c r="B34" s="16" t="inlineStr">
        <is>
          <t>TOTEM</t>
        </is>
      </c>
      <c r="C34" s="68" t="n">
        <v>58.77</v>
      </c>
      <c r="D34" s="69" t="n">
        <v>56.35</v>
      </c>
      <c r="E34" s="46">
        <f>D34/C34-1</f>
        <v/>
      </c>
      <c r="G34" s="70">
        <f>D34-C34</f>
        <v/>
      </c>
      <c r="H34" s="64" t="n"/>
      <c r="J34" s="64" t="n"/>
      <c r="K34" s="64" t="n"/>
    </row>
    <row r="35" ht="14.25" customHeight="1" s="113">
      <c r="B35" s="10" t="inlineStr">
        <is>
          <t>GIPSYY</t>
        </is>
      </c>
      <c r="C35" s="65" t="n">
        <v>115.01</v>
      </c>
      <c r="D35" s="66" t="n">
        <v>201.09</v>
      </c>
      <c r="E35" s="39">
        <f>D35/C35-1</f>
        <v/>
      </c>
      <c r="G35" s="70">
        <f>D35-C35</f>
        <v/>
      </c>
      <c r="H35" s="64" t="n"/>
      <c r="J35" s="64" t="n"/>
      <c r="K35" s="64" t="n"/>
    </row>
    <row r="36" ht="14.25" customHeight="1" s="113">
      <c r="B36" s="1" t="inlineStr">
        <is>
          <t>TOTAL</t>
        </is>
      </c>
      <c r="C36" s="56" t="n">
        <v>73.52</v>
      </c>
      <c r="D36" s="71" t="n">
        <v>80.91</v>
      </c>
      <c r="E36" s="53">
        <f>D36/C36-1</f>
        <v/>
      </c>
      <c r="G36" s="72">
        <f>D36-C36</f>
        <v/>
      </c>
    </row>
    <row r="37" ht="14.25" customHeight="1" s="113"/>
    <row r="38" ht="14.25" customHeight="1" s="113">
      <c r="B38" s="1" t="inlineStr">
        <is>
          <t>CANAIS</t>
        </is>
      </c>
      <c r="C38" s="1" t="inlineStr">
        <is>
          <t>TM 2025</t>
        </is>
      </c>
      <c r="D38" s="2" t="inlineStr">
        <is>
          <t>TM 2026</t>
        </is>
      </c>
      <c r="E38" s="2" t="inlineStr">
        <is>
          <t>% 25 x 26</t>
        </is>
      </c>
      <c r="G38" s="3" t="inlineStr">
        <is>
          <t>DIF 25 X 26</t>
        </is>
      </c>
      <c r="H38" s="60" t="n"/>
      <c r="J38" s="60" t="n"/>
      <c r="K38" s="60" t="n"/>
    </row>
    <row r="39" ht="14.25" customHeight="1" s="113">
      <c r="B39" s="4" t="inlineStr">
        <is>
          <t>OFFLINE</t>
        </is>
      </c>
      <c r="C39" s="61" t="n">
        <v>62</v>
      </c>
      <c r="D39" s="62" t="n">
        <v>67.62</v>
      </c>
      <c r="E39" s="32">
        <f>D39/C39-1</f>
        <v/>
      </c>
      <c r="G39" s="63">
        <f>D39-C39</f>
        <v/>
      </c>
      <c r="H39" s="64" t="n"/>
      <c r="J39" s="64" t="n"/>
      <c r="K39" s="64" t="n"/>
    </row>
    <row r="40" ht="14.25" customHeight="1" s="113">
      <c r="B40" s="10" t="inlineStr">
        <is>
          <t>ONLINE</t>
        </is>
      </c>
      <c r="C40" s="65" t="n">
        <v>86.03</v>
      </c>
      <c r="D40" s="66" t="n">
        <v>92.44</v>
      </c>
      <c r="E40" s="39">
        <f>D40/C40-1</f>
        <v/>
      </c>
      <c r="G40" s="67">
        <f>D40-C40</f>
        <v/>
      </c>
      <c r="H40" s="64" t="n"/>
      <c r="J40" s="64" t="n"/>
      <c r="K40" s="64" t="n"/>
    </row>
    <row r="41" ht="14.25" customHeight="1" s="113"/>
    <row r="42" ht="14.25" customHeight="1" s="113"/>
    <row r="43" ht="14.25" customHeight="1" s="113">
      <c r="B43" s="28" t="inlineStr">
        <is>
          <t>CANAIS</t>
        </is>
      </c>
      <c r="C43" s="28" t="inlineStr">
        <is>
          <t>PAX 2025</t>
        </is>
      </c>
      <c r="D43" s="3" t="inlineStr">
        <is>
          <t>PAX 2026</t>
        </is>
      </c>
      <c r="E43" s="3" t="inlineStr">
        <is>
          <t>% 25 x 26</t>
        </is>
      </c>
      <c r="G43" s="3" t="inlineStr">
        <is>
          <t>DIF 25 X 26</t>
        </is>
      </c>
      <c r="H43" s="60" t="n"/>
      <c r="J43" s="60" t="n"/>
      <c r="K43" s="60" t="n"/>
    </row>
    <row r="44" ht="14.25" customHeight="1" s="113">
      <c r="B44" s="4" t="inlineStr">
        <is>
          <t>GUICHÊS PRÓPRIOS UTP</t>
        </is>
      </c>
      <c r="C44" s="73" t="n">
        <v>497465</v>
      </c>
      <c r="D44" s="73" t="n">
        <v>452963</v>
      </c>
      <c r="E44" s="7">
        <f>D44/C44-1</f>
        <v/>
      </c>
      <c r="G44" s="75">
        <f>D44-C44</f>
        <v/>
      </c>
      <c r="H44" s="64" t="n"/>
      <c r="J44" s="64" t="n"/>
      <c r="K44" s="64" t="n"/>
    </row>
    <row r="45" ht="14.25" customHeight="1" s="113">
      <c r="B45" s="16" t="inlineStr">
        <is>
          <t>GUICHÊS TERCEIROS UTP</t>
        </is>
      </c>
      <c r="C45" s="79" t="n">
        <v>204377</v>
      </c>
      <c r="D45" s="79" t="n">
        <v>172871</v>
      </c>
      <c r="E45" s="13">
        <f>D45/C45-1</f>
        <v/>
      </c>
      <c r="G45" s="81">
        <f>D45-C45</f>
        <v/>
      </c>
      <c r="H45" s="64" t="n"/>
      <c r="J45" s="64" t="n"/>
      <c r="K45" s="64" t="n"/>
    </row>
    <row r="46" ht="14.25" customHeight="1" s="113">
      <c r="B46" s="16" t="inlineStr">
        <is>
          <t>VENDA CORPORATIVA</t>
        </is>
      </c>
      <c r="C46" s="79" t="n">
        <v>24451</v>
      </c>
      <c r="D46" s="79" t="n">
        <v>23801</v>
      </c>
      <c r="E46" s="13">
        <f>D46/C46-1</f>
        <v/>
      </c>
      <c r="G46" s="81">
        <f>D46-C46</f>
        <v/>
      </c>
      <c r="H46" s="64" t="n"/>
      <c r="J46" s="64" t="n"/>
      <c r="K46" s="64" t="n"/>
    </row>
    <row r="47" ht="14.25" customHeight="1" s="113">
      <c r="B47" s="10" t="inlineStr">
        <is>
          <t>VENDA EMBARCADA</t>
        </is>
      </c>
      <c r="C47" s="76" t="n">
        <v>43464</v>
      </c>
      <c r="D47" s="76" t="n">
        <v>30171</v>
      </c>
      <c r="E47" s="86">
        <f>D47/C47-1</f>
        <v/>
      </c>
      <c r="G47" s="78">
        <f>D47-C47</f>
        <v/>
      </c>
      <c r="H47" s="64" t="n"/>
      <c r="J47" s="64" t="n"/>
      <c r="K47" s="64" t="n"/>
    </row>
    <row r="48" ht="14.25" customHeight="1" s="113">
      <c r="B48" s="16" t="inlineStr">
        <is>
          <t>SITES PRÓPRIOS UTP</t>
        </is>
      </c>
      <c r="C48" s="79" t="n">
        <v>310586</v>
      </c>
      <c r="D48" s="80" t="n">
        <v>334492</v>
      </c>
      <c r="E48" s="46">
        <f>D48/C48-1</f>
        <v/>
      </c>
      <c r="G48" s="81">
        <f>D48-C48</f>
        <v/>
      </c>
      <c r="H48" s="64" t="n"/>
      <c r="J48" s="64" t="n"/>
      <c r="K48" s="64" t="n"/>
    </row>
    <row r="49" ht="14.25" customHeight="1" s="113">
      <c r="B49" s="16" t="inlineStr">
        <is>
          <t>SITES TERCEIROS UTP</t>
        </is>
      </c>
      <c r="C49" s="79" t="n">
        <v>252595</v>
      </c>
      <c r="D49" s="80" t="n">
        <v>289885</v>
      </c>
      <c r="E49" s="46">
        <f>D49/C49-1</f>
        <v/>
      </c>
      <c r="G49" s="81">
        <f>D49-C49</f>
        <v/>
      </c>
      <c r="H49" s="64" t="n"/>
      <c r="J49" s="64" t="n"/>
      <c r="K49" s="64" t="n"/>
    </row>
    <row r="50" ht="14.25" customHeight="1" s="113">
      <c r="B50" s="16" t="inlineStr">
        <is>
          <t>OUTLET DE PASSAGENS</t>
        </is>
      </c>
      <c r="C50" s="79" t="n">
        <v>23867</v>
      </c>
      <c r="D50" s="80" t="n">
        <v>23650</v>
      </c>
      <c r="E50" s="46">
        <f>D50/C50-1</f>
        <v/>
      </c>
      <c r="G50" s="81">
        <f>D50-C50</f>
        <v/>
      </c>
      <c r="H50" s="64" t="n"/>
      <c r="J50" s="64" t="n"/>
      <c r="K50" s="64" t="n"/>
    </row>
    <row r="51" ht="14.25" customHeight="1" s="113">
      <c r="B51" s="16" t="inlineStr">
        <is>
          <t>CLUBE GIRO</t>
        </is>
      </c>
      <c r="C51" s="79" t="n">
        <v>48578</v>
      </c>
      <c r="D51" s="80" t="n">
        <v>46640</v>
      </c>
      <c r="E51" s="46">
        <f>D51/C51-1</f>
        <v/>
      </c>
      <c r="G51" s="81">
        <f>D51-C51</f>
        <v/>
      </c>
      <c r="H51" s="64" t="n"/>
      <c r="J51" s="64" t="n"/>
      <c r="K51" s="64" t="n"/>
    </row>
    <row r="52" ht="14.25" customHeight="1" s="113">
      <c r="B52" s="16" t="inlineStr">
        <is>
          <t>WEMOBI</t>
        </is>
      </c>
      <c r="C52" s="79" t="n">
        <v>13408</v>
      </c>
      <c r="D52" s="80" t="n">
        <v>13077</v>
      </c>
      <c r="E52" s="46">
        <f>D52/C52-1</f>
        <v/>
      </c>
      <c r="G52" s="81">
        <f>D52-C52</f>
        <v/>
      </c>
      <c r="H52" s="64" t="n"/>
      <c r="J52" s="64" t="n"/>
      <c r="K52" s="64" t="n"/>
    </row>
    <row r="53" ht="14.25" customHeight="1" s="113">
      <c r="B53" s="16" t="inlineStr">
        <is>
          <t>TOTEM</t>
        </is>
      </c>
      <c r="C53" s="79" t="n">
        <v>25267</v>
      </c>
      <c r="D53" s="80" t="n">
        <v>28038</v>
      </c>
      <c r="E53" s="46">
        <f>D53/C53-1</f>
        <v/>
      </c>
      <c r="G53" s="81">
        <f>D53-C53</f>
        <v/>
      </c>
      <c r="H53" s="64" t="n"/>
      <c r="J53" s="64" t="n"/>
      <c r="K53" s="64" t="n"/>
    </row>
    <row r="54" ht="14.25" customHeight="1" s="113">
      <c r="B54" s="10" t="inlineStr">
        <is>
          <t>GIPSYY</t>
        </is>
      </c>
      <c r="C54" s="76" t="n">
        <v>106</v>
      </c>
      <c r="D54" s="77" t="n">
        <v>99</v>
      </c>
      <c r="E54" s="46">
        <f>D54/C54-1</f>
        <v/>
      </c>
      <c r="G54" s="81">
        <f>D54-C54</f>
        <v/>
      </c>
      <c r="H54" s="64" t="n"/>
      <c r="J54" s="64" t="n"/>
      <c r="K54" s="64" t="n"/>
    </row>
    <row r="55" ht="14.25" customHeight="1" s="113">
      <c r="B55" s="1" t="inlineStr">
        <is>
          <t>TOTAL</t>
        </is>
      </c>
      <c r="C55" s="82">
        <f>SUM(C44:C54)</f>
        <v/>
      </c>
      <c r="D55" s="83">
        <f>SUM(D44:D54)</f>
        <v/>
      </c>
      <c r="E55" s="53">
        <f>D55/C55-1</f>
        <v/>
      </c>
      <c r="G55" s="84">
        <f>D55-C55</f>
        <v/>
      </c>
    </row>
    <row r="56" ht="14.25" customHeight="1" s="113"/>
    <row r="57" ht="14.25" customHeight="1" s="113">
      <c r="B57" s="1" t="inlineStr">
        <is>
          <t>CANAIS</t>
        </is>
      </c>
      <c r="C57" s="1" t="inlineStr">
        <is>
          <t>PAX 2025</t>
        </is>
      </c>
      <c r="D57" s="2" t="inlineStr">
        <is>
          <t>PAX 2026</t>
        </is>
      </c>
      <c r="E57" s="2" t="inlineStr">
        <is>
          <t>% 25 x 26</t>
        </is>
      </c>
      <c r="G57" s="2" t="inlineStr">
        <is>
          <t>DIF 25 X 26</t>
        </is>
      </c>
      <c r="H57" s="60" t="n"/>
      <c r="J57" s="60" t="n"/>
      <c r="K57" s="60" t="n"/>
    </row>
    <row r="58" ht="14.25" customHeight="1" s="113">
      <c r="B58" s="16" t="inlineStr">
        <is>
          <t>OFFLINE</t>
        </is>
      </c>
      <c r="C58" s="79">
        <f>C44+C47+C45+C46</f>
        <v/>
      </c>
      <c r="D58" s="80">
        <f>D44+D47+D45+D46</f>
        <v/>
      </c>
      <c r="E58" s="46">
        <f>D58/C58-1</f>
        <v/>
      </c>
      <c r="G58" s="81">
        <f>D58-C58</f>
        <v/>
      </c>
      <c r="H58" s="64" t="n"/>
      <c r="J58" s="64" t="n"/>
      <c r="K58" s="64" t="n"/>
    </row>
    <row r="59" ht="14.25" customHeight="1" s="113">
      <c r="B59" s="10" t="inlineStr">
        <is>
          <t>ONLINE</t>
        </is>
      </c>
      <c r="C59" s="76">
        <f>C48+C49+C50+C51+C52+C53+C54</f>
        <v/>
      </c>
      <c r="D59" s="77">
        <f>D48+D49+D50+D51+D52+D53+D54</f>
        <v/>
      </c>
      <c r="E59" s="46">
        <f>D59/C59-1</f>
        <v/>
      </c>
      <c r="G59" s="81">
        <f>D59-C59</f>
        <v/>
      </c>
      <c r="H59" s="64" t="n"/>
      <c r="J59" s="64" t="n"/>
      <c r="K59" s="64" t="n"/>
    </row>
    <row r="60" ht="14.25" customHeight="1" s="113">
      <c r="B60" s="1" t="inlineStr">
        <is>
          <t>TOTAL</t>
        </is>
      </c>
      <c r="C60" s="82">
        <f>C58+C59</f>
        <v/>
      </c>
      <c r="D60" s="82">
        <f>D58+D59</f>
        <v/>
      </c>
      <c r="E60" s="53">
        <f>D60/C60-1</f>
        <v/>
      </c>
      <c r="G60" s="84">
        <f>D60-C60</f>
        <v/>
      </c>
    </row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pageMargins left="0.511811024" right="0.511811024" top="0.787401575" bottom="0.7874015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Q60"/>
  <sheetViews>
    <sheetView showGridLines="0" workbookViewId="0">
      <selection activeCell="K50" sqref="K50"/>
    </sheetView>
  </sheetViews>
  <sheetFormatPr baseColWidth="8" defaultColWidth="14.44140625" defaultRowHeight="15.05" customHeight="1"/>
  <cols>
    <col width="8.33203125" customWidth="1" style="113" min="1" max="1"/>
    <col width="21.6640625" customWidth="1" style="113" min="2" max="2"/>
    <col width="15.109375" customWidth="1" style="113" min="3" max="5"/>
    <col width="1" customWidth="1" style="113" min="6" max="6"/>
    <col width="13.44140625" customWidth="1" style="113" min="7" max="7"/>
    <col width="10.6640625" customWidth="1" style="113" min="8" max="8"/>
    <col width="0.5546875" customWidth="1" style="113" min="9" max="9"/>
    <col width="15.44140625" customWidth="1" style="113" min="10" max="10"/>
    <col width="15.6640625" customWidth="1" style="113" min="11" max="11"/>
    <col width="0.5546875" customWidth="1" style="113" min="12" max="12"/>
    <col width="11.33203125" customWidth="1" style="113" min="13" max="13"/>
    <col width="11" customWidth="1" style="113" min="14" max="14"/>
    <col width="10" customWidth="1" style="113" min="15" max="15"/>
    <col width="8.44140625" customWidth="1" style="113" min="16" max="16"/>
    <col width="9.441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4" t="inlineStr">
        <is>
          <t>Atualizado até dia - 31/03/2026</t>
        </is>
      </c>
    </row>
    <row r="3" ht="14.25" customHeight="1" s="113"/>
    <row r="4" ht="14.25" customHeight="1" s="113">
      <c r="B4" s="1" t="inlineStr">
        <is>
          <t>CANAIS</t>
        </is>
      </c>
      <c r="C4" s="1" t="n">
        <v>2025</v>
      </c>
      <c r="D4" s="1" t="inlineStr">
        <is>
          <t>ORÇADO 2026</t>
        </is>
      </c>
      <c r="E4" s="2" t="n">
        <v>2026</v>
      </c>
      <c r="G4" s="2" t="inlineStr">
        <is>
          <t>% 26 X ORÇ.</t>
        </is>
      </c>
      <c r="H4" s="2" t="inlineStr">
        <is>
          <t>% 25 x 26</t>
        </is>
      </c>
      <c r="J4" s="2" t="inlineStr">
        <is>
          <t>DIF 26 X ORÇ.</t>
        </is>
      </c>
      <c r="K4" s="2" t="inlineStr">
        <is>
          <t>DIF 25 X 26</t>
        </is>
      </c>
      <c r="M4" s="28" t="inlineStr">
        <is>
          <t>% PART. 25</t>
        </is>
      </c>
      <c r="N4" s="28" t="inlineStr">
        <is>
          <t>% PART. 26 ORÇ.</t>
        </is>
      </c>
      <c r="O4" s="28" t="inlineStr">
        <is>
          <t>% PART. 26</t>
        </is>
      </c>
      <c r="P4" s="28" t="inlineStr">
        <is>
          <t>p.p 2026</t>
        </is>
      </c>
      <c r="Q4" s="3" t="inlineStr">
        <is>
          <t>p.p 25x26</t>
        </is>
      </c>
    </row>
    <row r="5" ht="14.25" customHeight="1" s="113">
      <c r="B5" s="4" t="inlineStr">
        <is>
          <t>GUICHÊS PRÓPRIOS UTP</t>
        </is>
      </c>
      <c r="C5" s="29" t="n">
        <v>32578379.94</v>
      </c>
      <c r="D5" s="29" t="n">
        <v>34201554.19732384</v>
      </c>
      <c r="E5" s="30" t="n">
        <v>33005595.57</v>
      </c>
      <c r="G5" s="31">
        <f>E5/D5-1</f>
        <v/>
      </c>
      <c r="H5" s="32">
        <f>E5/C5-1</f>
        <v/>
      </c>
      <c r="J5" s="33">
        <f>E5-D5</f>
        <v/>
      </c>
      <c r="K5" s="34">
        <f>E5-C5</f>
        <v/>
      </c>
      <c r="M5" s="9">
        <f>C5/C16</f>
        <v/>
      </c>
      <c r="N5" s="35">
        <f>D5/D16</f>
        <v/>
      </c>
      <c r="O5" s="35">
        <f>E5/E16</f>
        <v/>
      </c>
      <c r="P5" s="9">
        <f>O5-N5</f>
        <v/>
      </c>
      <c r="Q5" s="9">
        <f>O5-M5</f>
        <v/>
      </c>
    </row>
    <row r="6" ht="14.25" customHeight="1" s="113">
      <c r="B6" s="16" t="inlineStr">
        <is>
          <t>GUICHÊS TERCEIROS UTP</t>
        </is>
      </c>
      <c r="C6" s="43" t="n">
        <v>14739714.21</v>
      </c>
      <c r="D6" s="43" t="n">
        <v>10082081.57146199</v>
      </c>
      <c r="E6" s="44" t="n">
        <v>15007641.84</v>
      </c>
      <c r="G6" s="45">
        <f>E6/D6-1</f>
        <v/>
      </c>
      <c r="H6" s="46">
        <f>E6/C6-1</f>
        <v/>
      </c>
      <c r="J6" s="47">
        <f>E6-D6</f>
        <v/>
      </c>
      <c r="K6" s="48">
        <f>E6-C6</f>
        <v/>
      </c>
      <c r="M6" s="19">
        <f>C6/C16</f>
        <v/>
      </c>
      <c r="N6" s="49">
        <f>D6/D16</f>
        <v/>
      </c>
      <c r="O6" s="49">
        <f>E6/E16</f>
        <v/>
      </c>
      <c r="P6" s="19">
        <f>O6-N6</f>
        <v/>
      </c>
      <c r="Q6" s="19">
        <f>O6-M6</f>
        <v/>
      </c>
    </row>
    <row r="7" ht="14.25" customHeight="1" s="113">
      <c r="B7" s="16" t="inlineStr">
        <is>
          <t>VENDA CORPORATIVA</t>
        </is>
      </c>
      <c r="C7" s="43" t="n">
        <v>1112752.63</v>
      </c>
      <c r="D7" s="43" t="n">
        <v>628476.7796710317</v>
      </c>
      <c r="E7" s="44" t="n">
        <v>997979.34</v>
      </c>
      <c r="G7" s="45">
        <f>E7/D7-1</f>
        <v/>
      </c>
      <c r="H7" s="46">
        <f>E7/C7-1</f>
        <v/>
      </c>
      <c r="J7" s="47">
        <f>E7-D7</f>
        <v/>
      </c>
      <c r="K7" s="48">
        <f>E7-C7</f>
        <v/>
      </c>
      <c r="M7" s="19">
        <f>C7/C16</f>
        <v/>
      </c>
      <c r="N7" s="49">
        <f>D7/D16</f>
        <v/>
      </c>
      <c r="O7" s="49">
        <f>E7/E16</f>
        <v/>
      </c>
      <c r="P7" s="19">
        <f>O7-N7</f>
        <v/>
      </c>
      <c r="Q7" s="19">
        <f>O7-M7</f>
        <v/>
      </c>
    </row>
    <row r="8" ht="14.25" customHeight="1" s="113">
      <c r="B8" s="10" t="inlineStr">
        <is>
          <t>VENDA EMBARCADA</t>
        </is>
      </c>
      <c r="C8" s="36" t="n">
        <v>1294053.96</v>
      </c>
      <c r="D8" s="36" t="n">
        <v>506292.5709580583</v>
      </c>
      <c r="E8" s="37" t="n">
        <v>1307438.76</v>
      </c>
      <c r="G8" s="45">
        <f>E8/D8-1</f>
        <v/>
      </c>
      <c r="H8" s="46">
        <f>E8/C8-1</f>
        <v/>
      </c>
      <c r="J8" s="47">
        <f>E8-D8</f>
        <v/>
      </c>
      <c r="K8" s="48">
        <f>E8-C8</f>
        <v/>
      </c>
      <c r="M8" s="19">
        <f>C8/C16</f>
        <v/>
      </c>
      <c r="N8" s="49">
        <f>D8/D16</f>
        <v/>
      </c>
      <c r="O8" s="49">
        <f>E8/E16</f>
        <v/>
      </c>
      <c r="P8" s="19">
        <f>O8-N8</f>
        <v/>
      </c>
      <c r="Q8" s="19">
        <f>O8-M8</f>
        <v/>
      </c>
    </row>
    <row r="9" ht="14.25" customHeight="1" s="113">
      <c r="B9" s="16" t="inlineStr">
        <is>
          <t>SITES PRÓPRIOS UTP</t>
        </is>
      </c>
      <c r="C9" s="43" t="n">
        <v>29690314.7</v>
      </c>
      <c r="D9" s="43" t="n">
        <v>31870523.31885</v>
      </c>
      <c r="E9" s="44" t="n">
        <v>33214536.85</v>
      </c>
      <c r="G9" s="45">
        <f>E9/D9-1</f>
        <v/>
      </c>
      <c r="H9" s="46">
        <f>E9/C9-1</f>
        <v/>
      </c>
      <c r="J9" s="47">
        <f>E9-D9</f>
        <v/>
      </c>
      <c r="K9" s="48">
        <f>E9-C9</f>
        <v/>
      </c>
      <c r="M9" s="19">
        <f>C9/C16</f>
        <v/>
      </c>
      <c r="N9" s="49">
        <f>D9/D16</f>
        <v/>
      </c>
      <c r="O9" s="49">
        <f>E9/E16</f>
        <v/>
      </c>
      <c r="P9" s="19">
        <f>O9-N9</f>
        <v/>
      </c>
      <c r="Q9" s="19">
        <f>O9-M9</f>
        <v/>
      </c>
    </row>
    <row r="10" ht="14.25" customHeight="1" s="113">
      <c r="B10" s="16" t="inlineStr">
        <is>
          <t>SITES TERCEIROS UTP</t>
        </is>
      </c>
      <c r="C10" s="43" t="n">
        <v>24109392.41</v>
      </c>
      <c r="D10" s="43" t="n">
        <v>25965657.5034283</v>
      </c>
      <c r="E10" s="44" t="n">
        <v>29955336.43</v>
      </c>
      <c r="G10" s="45">
        <f>E10/D10-1</f>
        <v/>
      </c>
      <c r="H10" s="46">
        <f>E10/C10-1</f>
        <v/>
      </c>
      <c r="J10" s="47">
        <f>E10-D10</f>
        <v/>
      </c>
      <c r="K10" s="48">
        <f>E10-C10</f>
        <v/>
      </c>
      <c r="M10" s="19">
        <f>C10/C16</f>
        <v/>
      </c>
      <c r="N10" s="49">
        <f>D10/D16</f>
        <v/>
      </c>
      <c r="O10" s="49">
        <f>E10/E16</f>
        <v/>
      </c>
      <c r="P10" s="19">
        <f>O10-N10</f>
        <v/>
      </c>
      <c r="Q10" s="19">
        <f>O10-M10</f>
        <v/>
      </c>
    </row>
    <row r="11" ht="14.25" customHeight="1" s="113">
      <c r="B11" s="16" t="inlineStr">
        <is>
          <t>OUTLET DE PASSAGENS</t>
        </is>
      </c>
      <c r="C11" s="43" t="n">
        <v>1487695.43</v>
      </c>
      <c r="D11" s="43" t="n">
        <v>1124337.317983006</v>
      </c>
      <c r="E11" s="44" t="n">
        <v>1880226.31</v>
      </c>
      <c r="G11" s="45">
        <f>E11/D11-1</f>
        <v/>
      </c>
      <c r="H11" s="46">
        <f>E11/C11-1</f>
        <v/>
      </c>
      <c r="J11" s="47">
        <f>E11-D11</f>
        <v/>
      </c>
      <c r="K11" s="48">
        <f>E11-C11</f>
        <v/>
      </c>
      <c r="M11" s="19">
        <f>C11/C16</f>
        <v/>
      </c>
      <c r="N11" s="49">
        <f>D11/D16</f>
        <v/>
      </c>
      <c r="O11" s="49">
        <f>E11/E16</f>
        <v/>
      </c>
      <c r="P11" s="19">
        <f>O11-N11</f>
        <v/>
      </c>
      <c r="Q11" s="19">
        <f>O11-M11</f>
        <v/>
      </c>
    </row>
    <row r="12" ht="14.25" customHeight="1" s="113">
      <c r="B12" s="16" t="inlineStr">
        <is>
          <t>CLUBE GIRO</t>
        </is>
      </c>
      <c r="C12" s="43" t="n">
        <v>3204550.8</v>
      </c>
      <c r="D12" s="43" t="n">
        <v>3804107.976998367</v>
      </c>
      <c r="E12" s="44" t="n">
        <v>3783276.97</v>
      </c>
      <c r="G12" s="45">
        <f>E12/D12-1</f>
        <v/>
      </c>
      <c r="H12" s="46">
        <f>E12/C12-1</f>
        <v/>
      </c>
      <c r="J12" s="47">
        <f>E12-D12</f>
        <v/>
      </c>
      <c r="K12" s="48">
        <f>E12-C12</f>
        <v/>
      </c>
      <c r="M12" s="19">
        <f>C12/C16</f>
        <v/>
      </c>
      <c r="N12" s="49">
        <f>D12/D16</f>
        <v/>
      </c>
      <c r="O12" s="49">
        <f>E12/E16</f>
        <v/>
      </c>
      <c r="P12" s="19">
        <f>O12-N12</f>
        <v/>
      </c>
      <c r="Q12" s="19">
        <f>O12-M12</f>
        <v/>
      </c>
    </row>
    <row r="13" ht="14.25" customHeight="1" s="113">
      <c r="B13" s="16" t="inlineStr">
        <is>
          <t>WEMOBI</t>
        </is>
      </c>
      <c r="C13" s="43" t="n">
        <v>1339595.18</v>
      </c>
      <c r="D13" s="43" t="n">
        <v>1602762.20408028</v>
      </c>
      <c r="E13" s="44" t="n">
        <v>1558151.47</v>
      </c>
      <c r="G13" s="45">
        <f>E13/D13-1</f>
        <v/>
      </c>
      <c r="H13" s="46">
        <f>E13/C13-1</f>
        <v/>
      </c>
      <c r="J13" s="47">
        <f>E13-D13</f>
        <v/>
      </c>
      <c r="K13" s="48">
        <f>E13-C13</f>
        <v/>
      </c>
      <c r="M13" s="19">
        <f>C13/C16</f>
        <v/>
      </c>
      <c r="N13" s="49">
        <f>D13/D16</f>
        <v/>
      </c>
      <c r="O13" s="49">
        <f>E13/E16</f>
        <v/>
      </c>
      <c r="P13" s="19">
        <f>O13-N13</f>
        <v/>
      </c>
      <c r="Q13" s="19">
        <f>O13-M13</f>
        <v/>
      </c>
    </row>
    <row r="14" ht="14.25" customHeight="1" s="113">
      <c r="B14" s="16" t="inlineStr">
        <is>
          <t>TOTEM</t>
        </is>
      </c>
      <c r="C14" s="43" t="n">
        <v>1676746.56</v>
      </c>
      <c r="D14" s="43" t="n">
        <v>1956961.958175</v>
      </c>
      <c r="E14" s="44" t="n">
        <v>1771328.07</v>
      </c>
      <c r="G14" s="45">
        <f>E14/D14-1</f>
        <v/>
      </c>
      <c r="H14" s="46">
        <f>E14/C14-1</f>
        <v/>
      </c>
      <c r="J14" s="47">
        <f>E14-D14</f>
        <v/>
      </c>
      <c r="K14" s="48">
        <f>E14-C14</f>
        <v/>
      </c>
      <c r="M14" s="19">
        <f>C14/C16</f>
        <v/>
      </c>
      <c r="N14" s="49">
        <f>D14/D16</f>
        <v/>
      </c>
      <c r="O14" s="49">
        <f>E14/E16</f>
        <v/>
      </c>
      <c r="P14" s="19">
        <f>O14-N14</f>
        <v/>
      </c>
      <c r="Q14" s="19">
        <f>O14-M14</f>
        <v/>
      </c>
    </row>
    <row r="15" ht="14.25" customHeight="1" s="113">
      <c r="B15" s="10" t="inlineStr">
        <is>
          <t>GIPSYY</t>
        </is>
      </c>
      <c r="C15" s="36" t="n">
        <v>58750.93</v>
      </c>
      <c r="D15" s="36" t="n">
        <v>83642.21107012077</v>
      </c>
      <c r="E15" s="37" t="n">
        <v>13044.19</v>
      </c>
      <c r="G15" s="38">
        <f>E15/D15-1</f>
        <v/>
      </c>
      <c r="H15" s="39">
        <f>E15/C15-1</f>
        <v/>
      </c>
      <c r="J15" s="40">
        <f>E15-D15</f>
        <v/>
      </c>
      <c r="K15" s="41">
        <f>E15-C15</f>
        <v/>
      </c>
      <c r="M15" s="15">
        <f>C15/C16</f>
        <v/>
      </c>
      <c r="N15" s="42">
        <f>D15/D16</f>
        <v/>
      </c>
      <c r="O15" s="42">
        <f>E15/E16</f>
        <v/>
      </c>
      <c r="P15" s="15">
        <f>O15-N15</f>
        <v/>
      </c>
      <c r="Q15" s="15">
        <f>O15-M15</f>
        <v/>
      </c>
    </row>
    <row r="16" ht="14.25" customHeight="1" s="113">
      <c r="B16" s="1" t="inlineStr">
        <is>
          <t>TOTAL</t>
        </is>
      </c>
      <c r="C16" s="50">
        <f>SUM(C5:C15)</f>
        <v/>
      </c>
      <c r="D16" s="50">
        <f>SUM(D5:D15)</f>
        <v/>
      </c>
      <c r="E16" s="51">
        <f>SUM(E5:E15)</f>
        <v/>
      </c>
      <c r="G16" s="52">
        <f>E16/D16-1</f>
        <v/>
      </c>
      <c r="H16" s="53">
        <f>E16/C16-1</f>
        <v/>
      </c>
      <c r="J16" s="54">
        <f>E16-D16</f>
        <v/>
      </c>
      <c r="K16" s="55">
        <f>E16-C16</f>
        <v/>
      </c>
    </row>
    <row r="17" ht="14.25" customHeight="1" s="113">
      <c r="C17" s="43" t="n"/>
      <c r="D17" s="43" t="n"/>
      <c r="E17" s="44" t="n"/>
    </row>
    <row r="18" ht="14.25" customHeight="1" s="113">
      <c r="B18" s="1" t="inlineStr">
        <is>
          <t>CANAIS</t>
        </is>
      </c>
      <c r="C18" s="1" t="n">
        <v>2025</v>
      </c>
      <c r="D18" s="1" t="inlineStr">
        <is>
          <t>ORÇADO 2026</t>
        </is>
      </c>
      <c r="E18" s="2" t="n">
        <v>2026</v>
      </c>
      <c r="G18" s="2" t="inlineStr">
        <is>
          <t>% 26 X ORÇ.</t>
        </is>
      </c>
      <c r="H18" s="2" t="inlineStr">
        <is>
          <t>% 25 x 26</t>
        </is>
      </c>
      <c r="J18" s="2" t="inlineStr">
        <is>
          <t>DIF 26 X ORÇ.</t>
        </is>
      </c>
      <c r="K18" s="2" t="inlineStr">
        <is>
          <t>DIF 25 X 26</t>
        </is>
      </c>
      <c r="M18" s="28" t="inlineStr">
        <is>
          <t>% PART. 25</t>
        </is>
      </c>
      <c r="N18" s="28" t="inlineStr">
        <is>
          <t>% PART. 26 ORÇ.</t>
        </is>
      </c>
      <c r="O18" s="28" t="inlineStr">
        <is>
          <t>% PART. 26</t>
        </is>
      </c>
      <c r="P18" s="28" t="inlineStr">
        <is>
          <t>p.p 2026</t>
        </is>
      </c>
      <c r="Q18" s="3" t="inlineStr">
        <is>
          <t>% VAR</t>
        </is>
      </c>
    </row>
    <row r="19" ht="14.25" customHeight="1" s="113">
      <c r="B19" s="16" t="inlineStr">
        <is>
          <t>OFFLINE</t>
        </is>
      </c>
      <c r="C19" s="43">
        <f>C5+C6+C7+C8</f>
        <v/>
      </c>
      <c r="D19" s="43">
        <f>D5+D6+D7+D8</f>
        <v/>
      </c>
      <c r="E19" s="44">
        <f>E5+E6+E7+E8</f>
        <v/>
      </c>
      <c r="G19" s="45">
        <f>E19/D19-1</f>
        <v/>
      </c>
      <c r="H19" s="46">
        <f>E19/C19-1</f>
        <v/>
      </c>
      <c r="J19" s="47">
        <f>E19-D19</f>
        <v/>
      </c>
      <c r="K19" s="48">
        <f>E19-C19</f>
        <v/>
      </c>
      <c r="M19" s="9">
        <f>M5+M6+M7+M8</f>
        <v/>
      </c>
      <c r="N19" s="35">
        <f>D19/D21</f>
        <v/>
      </c>
      <c r="O19" s="35">
        <f>O5+O6+O7+O8</f>
        <v/>
      </c>
      <c r="P19" s="35">
        <f>O19-N19</f>
        <v/>
      </c>
      <c r="Q19" s="9">
        <f>O19-M19</f>
        <v/>
      </c>
    </row>
    <row r="20" ht="14.25" customHeight="1" s="113">
      <c r="B20" s="10" t="inlineStr">
        <is>
          <t>ONLINE</t>
        </is>
      </c>
      <c r="C20" s="36">
        <f>C9+C10+C11+C12+C13+C14+C15</f>
        <v/>
      </c>
      <c r="D20" s="36">
        <f>D9+D10+D11+D12+D13+D14+D15</f>
        <v/>
      </c>
      <c r="E20" s="37">
        <f>E9+E10+E11+E12+E13+E14+E15</f>
        <v/>
      </c>
      <c r="G20" s="45">
        <f>E20/D20-1</f>
        <v/>
      </c>
      <c r="H20" s="46">
        <f>E20/C20-1</f>
        <v/>
      </c>
      <c r="J20" s="47">
        <f>E20-D20</f>
        <v/>
      </c>
      <c r="K20" s="48">
        <f>E20-C20</f>
        <v/>
      </c>
      <c r="M20" s="15">
        <f>M9+M10+M11+M12+M13+M14+M15</f>
        <v/>
      </c>
      <c r="N20" s="42">
        <f>D20/D21</f>
        <v/>
      </c>
      <c r="O20" s="42">
        <f>O9+O10+O11+O12+O13+O14+O15</f>
        <v/>
      </c>
      <c r="P20" s="42">
        <f>O20-N20</f>
        <v/>
      </c>
      <c r="Q20" s="15">
        <f>O20-M20</f>
        <v/>
      </c>
    </row>
    <row r="21" ht="14.25" customHeight="1" s="113">
      <c r="B21" s="1" t="inlineStr">
        <is>
          <t>TOTAL</t>
        </is>
      </c>
      <c r="C21" s="56">
        <f>C19+C20</f>
        <v/>
      </c>
      <c r="D21" s="56">
        <f>D19+D20</f>
        <v/>
      </c>
      <c r="E21" s="56">
        <f>E19+E20</f>
        <v/>
      </c>
      <c r="G21" s="52">
        <f>E21/D21-1</f>
        <v/>
      </c>
      <c r="H21" s="53">
        <f>E21/C21-1</f>
        <v/>
      </c>
      <c r="J21" s="54">
        <f>E21-D21</f>
        <v/>
      </c>
      <c r="K21" s="55">
        <f>E21-C21</f>
        <v/>
      </c>
    </row>
    <row r="22" ht="14.25" customHeight="1" s="113"/>
    <row r="23" ht="14.25" customHeight="1" s="113"/>
    <row r="24" ht="14.25" customHeight="1" s="113">
      <c r="B24" s="28" t="inlineStr">
        <is>
          <t>CANAIS</t>
        </is>
      </c>
      <c r="C24" s="28" t="inlineStr">
        <is>
          <t>TM 2025</t>
        </is>
      </c>
      <c r="D24" s="3" t="inlineStr">
        <is>
          <t>TM 2026</t>
        </is>
      </c>
      <c r="E24" s="3" t="inlineStr">
        <is>
          <t>% 25 x 26</t>
        </is>
      </c>
      <c r="G24" s="3" t="inlineStr">
        <is>
          <t>DIF 25 X 26</t>
        </is>
      </c>
      <c r="H24" s="60" t="n"/>
      <c r="J24" s="60" t="n"/>
      <c r="K24" s="60" t="n"/>
    </row>
    <row r="25" ht="14.25" customHeight="1" s="113">
      <c r="B25" s="4" t="inlineStr">
        <is>
          <t>GUICHÊS PRÓPRIOS UTP</t>
        </is>
      </c>
      <c r="C25" s="61" t="n">
        <v>61.11</v>
      </c>
      <c r="D25" s="62" t="n">
        <v>65.98</v>
      </c>
      <c r="E25" s="7">
        <f>D25/C25-1</f>
        <v/>
      </c>
      <c r="G25" s="63">
        <f>D25-C25</f>
        <v/>
      </c>
      <c r="H25" s="64" t="n"/>
      <c r="J25" s="64" t="n"/>
      <c r="K25" s="64" t="n"/>
    </row>
    <row r="26" ht="14.25" customHeight="1" s="113">
      <c r="B26" s="16" t="inlineStr">
        <is>
          <t>GUICHÊS TERCEIROS UTP</t>
        </is>
      </c>
      <c r="C26" s="68" t="n">
        <v>69.36</v>
      </c>
      <c r="D26" s="69" t="n">
        <v>78.26000000000001</v>
      </c>
      <c r="E26" s="13">
        <f>D26/C26-1</f>
        <v/>
      </c>
      <c r="G26" s="70">
        <f>D26-C26</f>
        <v/>
      </c>
      <c r="H26" s="64" t="n"/>
      <c r="J26" s="64" t="n"/>
      <c r="K26" s="64" t="n"/>
    </row>
    <row r="27" ht="14.25" customHeight="1" s="113">
      <c r="B27" s="16" t="inlineStr">
        <is>
          <t>VENDA CORPORATIVA</t>
        </is>
      </c>
      <c r="C27" s="68" t="n">
        <v>38.62</v>
      </c>
      <c r="D27" s="69" t="n">
        <v>40.56</v>
      </c>
      <c r="E27" s="13">
        <f>D27/C27-1</f>
        <v/>
      </c>
      <c r="G27" s="70">
        <f>D27-C27</f>
        <v/>
      </c>
      <c r="H27" s="64" t="n"/>
      <c r="J27" s="64" t="n"/>
      <c r="K27" s="64" t="n"/>
    </row>
    <row r="28" ht="14.25" customHeight="1" s="113">
      <c r="B28" s="10" t="inlineStr">
        <is>
          <t>VENDA EMBARCADA</t>
        </is>
      </c>
      <c r="C28" s="65" t="n">
        <v>27.4</v>
      </c>
      <c r="D28" s="66" t="n">
        <v>33.57</v>
      </c>
      <c r="E28" s="86">
        <f>D28/C28-1</f>
        <v/>
      </c>
      <c r="G28" s="67">
        <f>D28-C28</f>
        <v/>
      </c>
      <c r="H28" s="64" t="n"/>
      <c r="J28" s="64" t="n"/>
      <c r="K28" s="64" t="n"/>
    </row>
    <row r="29" ht="14.25" customHeight="1" s="113">
      <c r="B29" s="16" t="inlineStr">
        <is>
          <t>SITES PRÓPRIOS UTP</t>
        </is>
      </c>
      <c r="C29" s="68" t="n">
        <v>87.73</v>
      </c>
      <c r="D29" s="69" t="n">
        <v>94.78</v>
      </c>
      <c r="E29" s="46">
        <f>D29/C29-1</f>
        <v/>
      </c>
      <c r="G29" s="70">
        <f>D29-C29</f>
        <v/>
      </c>
      <c r="H29" s="64" t="n"/>
      <c r="J29" s="64" t="n"/>
      <c r="K29" s="64" t="n"/>
    </row>
    <row r="30" ht="14.25" customHeight="1" s="113">
      <c r="B30" s="16" t="inlineStr">
        <is>
          <t>SITES TERCEIROS UTP</t>
        </is>
      </c>
      <c r="C30" s="68" t="n">
        <v>92.67</v>
      </c>
      <c r="D30" s="69" t="n">
        <v>103.2</v>
      </c>
      <c r="E30" s="46">
        <f>D30/C30-1</f>
        <v/>
      </c>
      <c r="G30" s="70">
        <f>D30-C30</f>
        <v/>
      </c>
      <c r="H30" s="64" t="n"/>
      <c r="J30" s="64" t="n"/>
      <c r="K30" s="64" t="n"/>
    </row>
    <row r="31" ht="14.25" customHeight="1" s="113">
      <c r="B31" s="16" t="inlineStr">
        <is>
          <t>OUTLET DE PASSAGENS</t>
        </is>
      </c>
      <c r="C31" s="68" t="n">
        <v>59.72</v>
      </c>
      <c r="D31" s="69" t="n">
        <v>67.72</v>
      </c>
      <c r="E31" s="46">
        <f>D31/C31-1</f>
        <v/>
      </c>
      <c r="G31" s="70">
        <f>D31-C31</f>
        <v/>
      </c>
      <c r="H31" s="64" t="n"/>
      <c r="J31" s="64" t="n"/>
      <c r="K31" s="64" t="n"/>
    </row>
    <row r="32" ht="14.25" customHeight="1" s="113">
      <c r="B32" s="16" t="inlineStr">
        <is>
          <t>CLUBE GIRO</t>
        </is>
      </c>
      <c r="C32" s="68" t="n">
        <v>62.85</v>
      </c>
      <c r="D32" s="69" t="n">
        <v>77.15000000000001</v>
      </c>
      <c r="E32" s="46">
        <f>D32/C32-1</f>
        <v/>
      </c>
      <c r="G32" s="70">
        <f>D32-C32</f>
        <v/>
      </c>
      <c r="H32" s="64" t="inlineStr">
        <is>
          <t>&lt;-</t>
        </is>
      </c>
      <c r="J32" s="87" t="inlineStr">
        <is>
          <t>atualizado até dia 31</t>
        </is>
      </c>
      <c r="K32" s="64" t="n"/>
    </row>
    <row r="33" ht="14.25" customHeight="1" s="113">
      <c r="B33" s="16" t="inlineStr">
        <is>
          <t>WEMOBI</t>
        </is>
      </c>
      <c r="C33" s="68" t="n">
        <v>81.44</v>
      </c>
      <c r="D33" s="69" t="n">
        <v>83.65000000000001</v>
      </c>
      <c r="E33" s="46">
        <f>D33/C33-1</f>
        <v/>
      </c>
      <c r="G33" s="70">
        <f>D33-C33</f>
        <v/>
      </c>
      <c r="H33" s="64" t="n"/>
      <c r="J33" s="64" t="n"/>
      <c r="K33" s="64" t="n"/>
    </row>
    <row r="34" ht="14.25" customHeight="1" s="113">
      <c r="B34" s="16" t="inlineStr">
        <is>
          <t>TOTEM</t>
        </is>
      </c>
      <c r="C34" s="68" t="n">
        <v>57.94</v>
      </c>
      <c r="D34" s="69" t="n">
        <v>58.79</v>
      </c>
      <c r="E34" s="46">
        <f>D34/C34-1</f>
        <v/>
      </c>
      <c r="G34" s="70">
        <f>D34-C34</f>
        <v/>
      </c>
      <c r="H34" s="64" t="n"/>
      <c r="J34" s="64" t="n"/>
      <c r="K34" s="64" t="n"/>
    </row>
    <row r="35" ht="14.25" customHeight="1" s="113">
      <c r="B35" s="10" t="inlineStr">
        <is>
          <t>GIPSYY</t>
        </is>
      </c>
      <c r="C35" s="65" t="n">
        <v>99.73999999999999</v>
      </c>
      <c r="D35" s="66" t="n">
        <v>139.37</v>
      </c>
      <c r="E35" s="39">
        <f>D35/C35-1</f>
        <v/>
      </c>
      <c r="G35" s="70">
        <f>D35-C35</f>
        <v/>
      </c>
      <c r="H35" s="64" t="n"/>
      <c r="J35" s="64" t="n"/>
      <c r="K35" s="64" t="n"/>
    </row>
    <row r="36" ht="14.25" customHeight="1" s="113">
      <c r="B36" s="1" t="inlineStr">
        <is>
          <t>TOTAL</t>
        </is>
      </c>
      <c r="C36" s="56" t="n">
        <v>72.53</v>
      </c>
      <c r="D36" s="71" t="n">
        <v>80.98999999999999</v>
      </c>
      <c r="E36" s="53">
        <f>D36/C36-1</f>
        <v/>
      </c>
      <c r="G36" s="72">
        <f>D36-C36</f>
        <v/>
      </c>
    </row>
    <row r="37" ht="14.25" customHeight="1" s="113"/>
    <row r="38" ht="14.25" customHeight="1" s="113">
      <c r="B38" s="1" t="inlineStr">
        <is>
          <t>CANAIS</t>
        </is>
      </c>
      <c r="C38" s="1" t="inlineStr">
        <is>
          <t>TM 2025</t>
        </is>
      </c>
      <c r="D38" s="2" t="inlineStr">
        <is>
          <t>TM 2026</t>
        </is>
      </c>
      <c r="E38" s="2" t="inlineStr">
        <is>
          <t>% 25 x 26</t>
        </is>
      </c>
      <c r="G38" s="3" t="inlineStr">
        <is>
          <t>DIF 25 X 26</t>
        </is>
      </c>
      <c r="H38" s="60" t="n"/>
      <c r="J38" s="60" t="n"/>
      <c r="K38" s="60" t="n"/>
    </row>
    <row r="39" ht="14.25" customHeight="1" s="113">
      <c r="B39" s="4" t="inlineStr">
        <is>
          <t>OFFLINE</t>
        </is>
      </c>
      <c r="C39" s="61" t="n">
        <v>60.54</v>
      </c>
      <c r="D39" s="62" t="n">
        <v>66.66</v>
      </c>
      <c r="E39" s="32">
        <f>D39/C39-1</f>
        <v/>
      </c>
      <c r="G39" s="63">
        <f>D39-C39</f>
        <v/>
      </c>
      <c r="H39" s="64" t="n"/>
      <c r="J39" s="64" t="n"/>
      <c r="K39" s="64" t="n"/>
    </row>
    <row r="40" ht="14.25" customHeight="1" s="113">
      <c r="B40" s="10" t="inlineStr">
        <is>
          <t>ONLINE</t>
        </is>
      </c>
      <c r="C40" s="65" t="n">
        <v>85.48</v>
      </c>
      <c r="D40" s="66" t="n">
        <v>94.31</v>
      </c>
      <c r="E40" s="39">
        <f>D40/C40-1</f>
        <v/>
      </c>
      <c r="G40" s="67">
        <f>D40-C40</f>
        <v/>
      </c>
      <c r="H40" s="64" t="n"/>
      <c r="J40" s="64" t="n"/>
      <c r="K40" s="64" t="n"/>
    </row>
    <row r="41" ht="14.25" customHeight="1" s="113"/>
    <row r="42" ht="14.25" customHeight="1" s="113"/>
    <row r="43" ht="14.25" customHeight="1" s="113">
      <c r="B43" s="28" t="inlineStr">
        <is>
          <t>CANAIS</t>
        </is>
      </c>
      <c r="C43" s="28" t="inlineStr">
        <is>
          <t>PAX 2025</t>
        </is>
      </c>
      <c r="D43" s="3" t="inlineStr">
        <is>
          <t>PAX 2026</t>
        </is>
      </c>
      <c r="E43" s="3" t="inlineStr">
        <is>
          <t>% 25 x 26</t>
        </is>
      </c>
      <c r="G43" s="3" t="inlineStr">
        <is>
          <t>DIF 25 X 26</t>
        </is>
      </c>
      <c r="H43" s="60" t="n"/>
      <c r="J43" s="60" t="n"/>
      <c r="K43" s="60" t="n"/>
    </row>
    <row r="44" ht="14.25" customHeight="1" s="113">
      <c r="B44" s="4" t="inlineStr">
        <is>
          <t>GUICHÊS PRÓPRIOS UTP</t>
        </is>
      </c>
      <c r="C44" s="73" t="n">
        <v>527473</v>
      </c>
      <c r="D44" s="73" t="n">
        <v>493020</v>
      </c>
      <c r="E44" s="7">
        <f>D44/C44-1</f>
        <v/>
      </c>
      <c r="G44" s="75">
        <f>D44-C44</f>
        <v/>
      </c>
      <c r="H44" s="64" t="n"/>
      <c r="J44" s="64" t="n"/>
      <c r="K44" s="64" t="n"/>
    </row>
    <row r="45" ht="14.25" customHeight="1" s="113">
      <c r="B45" s="16" t="inlineStr">
        <is>
          <t>GUICHÊS TERCEIROS UTP</t>
        </is>
      </c>
      <c r="C45" s="79" t="n">
        <v>210602</v>
      </c>
      <c r="D45" s="79" t="n">
        <v>189340</v>
      </c>
      <c r="E45" s="13">
        <f>D45/C45-1</f>
        <v/>
      </c>
      <c r="G45" s="81">
        <f>D45-C45</f>
        <v/>
      </c>
      <c r="H45" s="64" t="n"/>
      <c r="J45" s="64" t="n"/>
      <c r="K45" s="64" t="n"/>
    </row>
    <row r="46" ht="14.25" customHeight="1" s="113">
      <c r="B46" s="16" t="inlineStr">
        <is>
          <t>VENDA CORPORATIVA</t>
        </is>
      </c>
      <c r="C46" s="79" t="n">
        <v>28803</v>
      </c>
      <c r="D46" s="79" t="n">
        <v>24582</v>
      </c>
      <c r="E46" s="13">
        <f>D46/C46-1</f>
        <v/>
      </c>
      <c r="G46" s="81">
        <f>D46-C46</f>
        <v/>
      </c>
      <c r="H46" s="64" t="n"/>
      <c r="J46" s="64" t="n"/>
      <c r="K46" s="64" t="n"/>
    </row>
    <row r="47" ht="14.25" customHeight="1" s="113">
      <c r="B47" s="10" t="inlineStr">
        <is>
          <t>VENDA EMBARCADA</t>
        </is>
      </c>
      <c r="C47" s="76" t="n">
        <v>47233</v>
      </c>
      <c r="D47" s="76" t="n">
        <v>38951</v>
      </c>
      <c r="E47" s="86">
        <f>D47/C47-1</f>
        <v/>
      </c>
      <c r="G47" s="78">
        <f>D47-C47</f>
        <v/>
      </c>
      <c r="H47" s="64" t="n"/>
      <c r="J47" s="64" t="n"/>
      <c r="K47" s="64" t="n"/>
    </row>
    <row r="48" ht="14.25" customHeight="1" s="113">
      <c r="B48" s="16" t="inlineStr">
        <is>
          <t>SITES PRÓPRIOS UTP</t>
        </is>
      </c>
      <c r="C48" s="79" t="n">
        <v>337747</v>
      </c>
      <c r="D48" s="80" t="n">
        <v>347843</v>
      </c>
      <c r="E48" s="46">
        <f>D48/C48-1</f>
        <v/>
      </c>
      <c r="G48" s="81">
        <f>D48-C48</f>
        <v/>
      </c>
      <c r="H48" s="64" t="n"/>
      <c r="J48" s="64" t="n"/>
      <c r="K48" s="64" t="n"/>
    </row>
    <row r="49" ht="14.25" customHeight="1" s="113">
      <c r="B49" s="16" t="inlineStr">
        <is>
          <t>SITES TERCEIROS UTP</t>
        </is>
      </c>
      <c r="C49" s="79" t="n">
        <v>261145</v>
      </c>
      <c r="D49" s="80" t="n">
        <v>291180</v>
      </c>
      <c r="E49" s="46">
        <f>D49/C49-1</f>
        <v/>
      </c>
      <c r="G49" s="81">
        <f>D49-C49</f>
        <v/>
      </c>
      <c r="H49" s="64" t="n"/>
      <c r="J49" s="64" t="n"/>
      <c r="K49" s="64" t="n"/>
    </row>
    <row r="50" ht="14.25" customHeight="1" s="113">
      <c r="B50" s="16" t="inlineStr">
        <is>
          <t>OUTLET DE PASSAGENS</t>
        </is>
      </c>
      <c r="C50" s="79" t="n">
        <v>24471</v>
      </c>
      <c r="D50" s="80" t="n">
        <v>27231</v>
      </c>
      <c r="E50" s="46">
        <f>D50/C50-1</f>
        <v/>
      </c>
      <c r="G50" s="81">
        <f>D50-C50</f>
        <v/>
      </c>
      <c r="H50" s="64" t="n"/>
      <c r="J50" s="64" t="n"/>
      <c r="K50" s="64" t="n"/>
    </row>
    <row r="51" ht="14.25" customHeight="1" s="113">
      <c r="B51" s="16" t="inlineStr">
        <is>
          <t>CLUBE GIRO</t>
        </is>
      </c>
      <c r="C51" s="79" t="n">
        <v>50826</v>
      </c>
      <c r="D51" s="80" t="n">
        <v>48649</v>
      </c>
      <c r="E51" s="46">
        <f>D51/C51-1</f>
        <v/>
      </c>
      <c r="G51" s="81">
        <f>D51-C51</f>
        <v/>
      </c>
      <c r="H51" s="64" t="n"/>
      <c r="J51" s="64" t="n"/>
      <c r="K51" s="64" t="n"/>
    </row>
    <row r="52" ht="14.25" customHeight="1" s="113">
      <c r="B52" s="16" t="inlineStr">
        <is>
          <t>WEMOBI</t>
        </is>
      </c>
      <c r="C52" s="79" t="n">
        <v>16390</v>
      </c>
      <c r="D52" s="80" t="n">
        <v>18342</v>
      </c>
      <c r="E52" s="46">
        <f>D52/C52-1</f>
        <v/>
      </c>
      <c r="G52" s="81">
        <f>D52-C52</f>
        <v/>
      </c>
      <c r="H52" s="64" t="n"/>
      <c r="J52" s="64" t="n"/>
      <c r="K52" s="64" t="n"/>
    </row>
    <row r="53" ht="14.25" customHeight="1" s="113">
      <c r="B53" s="16" t="inlineStr">
        <is>
          <t>TOTEM</t>
        </is>
      </c>
      <c r="C53" s="79" t="n">
        <v>28941</v>
      </c>
      <c r="D53" s="80" t="n">
        <v>30124</v>
      </c>
      <c r="E53" s="46">
        <f>D53/C53-1</f>
        <v/>
      </c>
      <c r="G53" s="81">
        <f>D53-C53</f>
        <v/>
      </c>
      <c r="H53" s="64" t="n"/>
      <c r="J53" s="64" t="n"/>
      <c r="K53" s="64" t="n"/>
    </row>
    <row r="54" ht="14.25" customHeight="1" s="113">
      <c r="B54" s="10" t="inlineStr">
        <is>
          <t>GIPSYY</t>
        </is>
      </c>
      <c r="C54" s="76" t="n">
        <v>585</v>
      </c>
      <c r="D54" s="77" t="n">
        <v>96</v>
      </c>
      <c r="E54" s="46">
        <f>D54/C54-1</f>
        <v/>
      </c>
      <c r="G54" s="81">
        <f>D54-C54</f>
        <v/>
      </c>
      <c r="H54" s="64" t="n"/>
      <c r="J54" s="64" t="n"/>
      <c r="K54" s="64" t="n"/>
    </row>
    <row r="55" ht="14.25" customHeight="1" s="113">
      <c r="B55" s="1" t="inlineStr">
        <is>
          <t>TOTAL</t>
        </is>
      </c>
      <c r="C55" s="82">
        <f>SUM(C44:C54)</f>
        <v/>
      </c>
      <c r="D55" s="83">
        <f>SUM(D44:D54)</f>
        <v/>
      </c>
      <c r="E55" s="53">
        <f>D55/C55-1</f>
        <v/>
      </c>
      <c r="G55" s="84">
        <f>D55-C55</f>
        <v/>
      </c>
    </row>
    <row r="56" ht="14.25" customHeight="1" s="113"/>
    <row r="57" ht="14.25" customHeight="1" s="113">
      <c r="B57" s="1" t="inlineStr">
        <is>
          <t>CANAIS</t>
        </is>
      </c>
      <c r="C57" s="1" t="inlineStr">
        <is>
          <t>PAX 2025</t>
        </is>
      </c>
      <c r="D57" s="2" t="inlineStr">
        <is>
          <t>PAX 2026</t>
        </is>
      </c>
      <c r="E57" s="2" t="inlineStr">
        <is>
          <t>% 25 x 26</t>
        </is>
      </c>
      <c r="G57" s="2" t="inlineStr">
        <is>
          <t>DIF 25 X 26</t>
        </is>
      </c>
      <c r="H57" s="60" t="n"/>
      <c r="J57" s="60" t="n"/>
      <c r="K57" s="60" t="n"/>
    </row>
    <row r="58" ht="14.25" customHeight="1" s="113">
      <c r="B58" s="16" t="inlineStr">
        <is>
          <t>OFFLINE</t>
        </is>
      </c>
      <c r="C58" s="79">
        <f>C44+C47+C45+C46</f>
        <v/>
      </c>
      <c r="D58" s="80">
        <f>D44+D47+D45+D46</f>
        <v/>
      </c>
      <c r="E58" s="46">
        <f>D58/C58-1</f>
        <v/>
      </c>
      <c r="G58" s="81">
        <f>D58-C58</f>
        <v/>
      </c>
      <c r="H58" s="64" t="n"/>
      <c r="J58" s="64" t="n"/>
      <c r="K58" s="64" t="n"/>
    </row>
    <row r="59" ht="14.25" customHeight="1" s="113">
      <c r="B59" s="10" t="inlineStr">
        <is>
          <t>ONLINE</t>
        </is>
      </c>
      <c r="C59" s="76">
        <f>C48+C49+C50+C51+C52+C53+C54</f>
        <v/>
      </c>
      <c r="D59" s="77">
        <f>D48+D49+D50+D51+D52+D53+D54</f>
        <v/>
      </c>
      <c r="E59" s="46">
        <f>D59/C59-1</f>
        <v/>
      </c>
      <c r="G59" s="81">
        <f>D59-C59</f>
        <v/>
      </c>
      <c r="H59" s="64" t="n"/>
      <c r="J59" s="64" t="n"/>
      <c r="K59" s="64" t="n"/>
    </row>
    <row r="60" ht="14.25" customHeight="1" s="113">
      <c r="B60" s="1" t="inlineStr">
        <is>
          <t>TOTAL</t>
        </is>
      </c>
      <c r="C60" s="82">
        <f>C58+C59</f>
        <v/>
      </c>
      <c r="D60" s="82">
        <f>D58+D59</f>
        <v/>
      </c>
      <c r="E60" s="53">
        <f>D60/C60-1</f>
        <v/>
      </c>
      <c r="G60" s="84">
        <f>D60-C60</f>
        <v/>
      </c>
    </row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conditionalFormatting sqref="A1:XFD1048576">
    <cfRule type="cellIs" priority="1" operator="lessThan" dxfId="0">
      <formula>0</formula>
    </cfRule>
  </conditionalFormatting>
  <pageMargins left="0.511811024" right="0.511811024" top="0.787401575" bottom="0.787401575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Q60"/>
  <sheetViews>
    <sheetView showGridLines="0" tabSelected="1" workbookViewId="0">
      <selection activeCell="K15" sqref="K15"/>
    </sheetView>
  </sheetViews>
  <sheetFormatPr baseColWidth="8" defaultColWidth="14.44140625" defaultRowHeight="15.05" customHeight="1"/>
  <cols>
    <col width="8.33203125" customWidth="1" style="113" min="1" max="1"/>
    <col width="21.6640625" customWidth="1" style="113" min="2" max="2"/>
    <col width="15.109375" customWidth="1" style="113" min="3" max="5"/>
    <col width="1" customWidth="1" style="113" min="6" max="6"/>
    <col width="13.44140625" customWidth="1" style="113" min="7" max="7"/>
    <col width="10.6640625" customWidth="1" style="113" min="8" max="8"/>
    <col width="0.5546875" customWidth="1" style="113" min="9" max="9"/>
    <col width="15.44140625" customWidth="1" style="113" min="10" max="10"/>
    <col width="15.6640625" customWidth="1" style="113" min="11" max="11"/>
    <col width="0.5546875" customWidth="1" style="113" min="12" max="12"/>
    <col width="11.33203125" customWidth="1" style="113" min="13" max="13"/>
    <col width="11" customWidth="1" style="113" min="14" max="14"/>
    <col width="10" customWidth="1" style="113" min="15" max="15"/>
    <col width="8.44140625" customWidth="1" style="113" min="16" max="16"/>
    <col width="9.44140625" customWidth="1" style="113" min="17" max="17"/>
    <col width="8.6640625" customWidth="1" style="113" min="18" max="26"/>
  </cols>
  <sheetData>
    <row r="1" ht="14.25" customHeight="1" s="113"/>
    <row r="2" ht="14.25" customHeight="1" s="113">
      <c r="B2" s="112" t="inlineStr">
        <is>
          <t>Atualizado até dia - 20/04/2026</t>
        </is>
      </c>
    </row>
    <row r="3" ht="14.25" customHeight="1" s="113" thickBot="1"/>
    <row r="4" ht="14.25" customHeight="1" s="113" thickBot="1">
      <c r="B4" s="1" t="inlineStr">
        <is>
          <t>CANAIS</t>
        </is>
      </c>
      <c r="C4" s="1" t="n">
        <v>2025</v>
      </c>
      <c r="D4" s="1" t="inlineStr">
        <is>
          <t>ORÇADO 2026</t>
        </is>
      </c>
      <c r="E4" s="2" t="n">
        <v>2026</v>
      </c>
      <c r="G4" s="2" t="inlineStr">
        <is>
          <t>% 26 X ORÇ.</t>
        </is>
      </c>
      <c r="H4" s="2" t="inlineStr">
        <is>
          <t>% 25 x 26</t>
        </is>
      </c>
      <c r="J4" s="2" t="inlineStr">
        <is>
          <t>DIF 26 X ORÇ.</t>
        </is>
      </c>
      <c r="K4" s="2" t="inlineStr">
        <is>
          <t>DIF 25 X 26</t>
        </is>
      </c>
      <c r="M4" s="28" t="inlineStr">
        <is>
          <t>% PART. 25</t>
        </is>
      </c>
      <c r="N4" s="28" t="inlineStr">
        <is>
          <t>% PART. 26 ORÇ.</t>
        </is>
      </c>
      <c r="O4" s="28" t="inlineStr">
        <is>
          <t>% PART. 26</t>
        </is>
      </c>
      <c r="P4" s="28" t="inlineStr">
        <is>
          <t>p.p 2026</t>
        </is>
      </c>
      <c r="Q4" s="3" t="inlineStr">
        <is>
          <t>p.p 25x26</t>
        </is>
      </c>
    </row>
    <row r="5" ht="14.25" customHeight="1" s="113">
      <c r="B5" s="4" t="inlineStr">
        <is>
          <t>GUICHÊS PRÓPRIOS UTP</t>
        </is>
      </c>
      <c r="C5" s="115" t="n">
        <v>23322657.86</v>
      </c>
      <c r="D5" s="115" t="n">
        <v>26139423.26688746</v>
      </c>
      <c r="E5" s="116" t="n">
        <v>22167393.29</v>
      </c>
      <c r="G5" s="117">
        <f>E5/D5-1</f>
        <v/>
      </c>
      <c r="H5" s="118">
        <f>E5/C5-1</f>
        <v/>
      </c>
      <c r="J5" s="119">
        <f>E5-D5</f>
        <v/>
      </c>
      <c r="K5" s="120">
        <f>E5-C5</f>
        <v/>
      </c>
      <c r="M5" s="121">
        <f>C5/C16</f>
        <v/>
      </c>
      <c r="N5" s="117">
        <f>D5/D16</f>
        <v/>
      </c>
      <c r="O5" s="117">
        <f>E5/E16</f>
        <v/>
      </c>
      <c r="P5" s="121">
        <f>O5-N5</f>
        <v/>
      </c>
      <c r="Q5" s="121">
        <f>O5-M5</f>
        <v/>
      </c>
    </row>
    <row r="6" ht="14.25" customHeight="1" s="113">
      <c r="B6" s="16" t="inlineStr">
        <is>
          <t>GUICHÊS TERCEIROS UTP</t>
        </is>
      </c>
      <c r="C6" s="122" t="n">
        <v>10795513.73</v>
      </c>
      <c r="D6" s="122" t="n">
        <v>7658510.136687977</v>
      </c>
      <c r="E6" s="123" t="n">
        <v>9929186.18</v>
      </c>
      <c r="G6" s="124">
        <f>E6/D6-1</f>
        <v/>
      </c>
      <c r="H6" s="125">
        <f>E6/C6-1</f>
        <v/>
      </c>
      <c r="J6" s="126">
        <f>E6-D6</f>
        <v/>
      </c>
      <c r="K6" s="127">
        <f>E6-C6</f>
        <v/>
      </c>
      <c r="M6" s="128">
        <f>C6/C16</f>
        <v/>
      </c>
      <c r="N6" s="124">
        <f>D6/D16</f>
        <v/>
      </c>
      <c r="O6" s="124">
        <f>E6/E16</f>
        <v/>
      </c>
      <c r="P6" s="128">
        <f>O6-N6</f>
        <v/>
      </c>
      <c r="Q6" s="128">
        <f>O6-M6</f>
        <v/>
      </c>
    </row>
    <row r="7" ht="14.25" customHeight="1" s="113">
      <c r="B7" s="16" t="inlineStr">
        <is>
          <t>VENDA CORPORATIVA</t>
        </is>
      </c>
      <c r="C7" s="122" t="n">
        <v>625028.22</v>
      </c>
      <c r="D7" s="122" t="n">
        <v>390845.2253868955</v>
      </c>
      <c r="E7" s="123" t="n">
        <v>609720.34</v>
      </c>
      <c r="G7" s="124">
        <f>E7/D7-1</f>
        <v/>
      </c>
      <c r="H7" s="125">
        <f>E7/C7-1</f>
        <v/>
      </c>
      <c r="J7" s="126">
        <f>E7-D7</f>
        <v/>
      </c>
      <c r="K7" s="127">
        <f>E7-C7</f>
        <v/>
      </c>
      <c r="M7" s="128">
        <f>C7/C16</f>
        <v/>
      </c>
      <c r="N7" s="124">
        <f>D7/D16</f>
        <v/>
      </c>
      <c r="O7" s="124">
        <f>E7/E16</f>
        <v/>
      </c>
      <c r="P7" s="128">
        <f>O7-N7</f>
        <v/>
      </c>
      <c r="Q7" s="128">
        <f>O7-M7</f>
        <v/>
      </c>
    </row>
    <row r="8" ht="14.25" customHeight="1" s="113" thickBot="1">
      <c r="B8" s="10" t="inlineStr">
        <is>
          <t>VENDA EMBARCADA</t>
        </is>
      </c>
      <c r="C8" s="129" t="n">
        <v>903575.3100000001</v>
      </c>
      <c r="D8" s="129" t="n">
        <v>352688.9680499329</v>
      </c>
      <c r="E8" s="130" t="n">
        <v>819475.58</v>
      </c>
      <c r="G8" s="124">
        <f>E8/D8-1</f>
        <v/>
      </c>
      <c r="H8" s="125">
        <f>E8/C8-1</f>
        <v/>
      </c>
      <c r="J8" s="126">
        <f>E8-D8</f>
        <v/>
      </c>
      <c r="K8" s="127">
        <f>E8-C8</f>
        <v/>
      </c>
      <c r="M8" s="128">
        <f>C8/C16</f>
        <v/>
      </c>
      <c r="N8" s="124">
        <f>D8/D16</f>
        <v/>
      </c>
      <c r="O8" s="124">
        <f>E8/E16</f>
        <v/>
      </c>
      <c r="P8" s="128">
        <f>O8-N8</f>
        <v/>
      </c>
      <c r="Q8" s="128">
        <f>O8-M8</f>
        <v/>
      </c>
    </row>
    <row r="9" ht="14.25" customHeight="1" s="113">
      <c r="B9" s="16" t="inlineStr">
        <is>
          <t>SITES PRÓPRIOS UTP</t>
        </is>
      </c>
      <c r="C9" s="122" t="n">
        <v>23536063.65</v>
      </c>
      <c r="D9" s="122" t="n">
        <v>25715587.4637</v>
      </c>
      <c r="E9" s="123" t="n">
        <v>22621340.3</v>
      </c>
      <c r="G9" s="124">
        <f>E9/D9-1</f>
        <v/>
      </c>
      <c r="H9" s="125">
        <f>E9/C9-1</f>
        <v/>
      </c>
      <c r="J9" s="126">
        <f>E9-D9</f>
        <v/>
      </c>
      <c r="K9" s="127">
        <f>E9-C9</f>
        <v/>
      </c>
      <c r="M9" s="128">
        <f>C9/C16</f>
        <v/>
      </c>
      <c r="N9" s="124">
        <f>D9/D16</f>
        <v/>
      </c>
      <c r="O9" s="124">
        <f>E9/E16</f>
        <v/>
      </c>
      <c r="P9" s="128">
        <f>O9-N9</f>
        <v/>
      </c>
      <c r="Q9" s="128">
        <f>O9-M9</f>
        <v/>
      </c>
    </row>
    <row r="10" ht="14.25" customHeight="1" s="113">
      <c r="B10" s="16" t="inlineStr">
        <is>
          <t>SITES TERCEIROS UTP</t>
        </is>
      </c>
      <c r="C10" s="122" t="n">
        <v>19575521.27</v>
      </c>
      <c r="D10" s="122" t="n">
        <v>20825864.52489045</v>
      </c>
      <c r="E10" s="123" t="n">
        <v>20746630.98</v>
      </c>
      <c r="G10" s="124">
        <f>E10/D10-1</f>
        <v/>
      </c>
      <c r="H10" s="125">
        <f>E10/C10-1</f>
        <v/>
      </c>
      <c r="J10" s="126">
        <f>E10-D10</f>
        <v/>
      </c>
      <c r="K10" s="127">
        <f>E10-C10</f>
        <v/>
      </c>
      <c r="M10" s="128">
        <f>C10/C16</f>
        <v/>
      </c>
      <c r="N10" s="124">
        <f>D10/D16</f>
        <v/>
      </c>
      <c r="O10" s="124">
        <f>E10/E16</f>
        <v/>
      </c>
      <c r="P10" s="128">
        <f>O10-N10</f>
        <v/>
      </c>
      <c r="Q10" s="128">
        <f>O10-M10</f>
        <v/>
      </c>
    </row>
    <row r="11" ht="14.25" customHeight="1" s="113">
      <c r="B11" s="16" t="inlineStr">
        <is>
          <t>OUTLET DE PASSAGENS</t>
        </is>
      </c>
      <c r="C11" s="122" t="n">
        <v>1237516.98</v>
      </c>
      <c r="D11" s="122" t="n">
        <v>1553862.143487302</v>
      </c>
      <c r="E11" s="123" t="n">
        <v>1241401.31</v>
      </c>
      <c r="G11" s="124">
        <f>E11/D11-1</f>
        <v/>
      </c>
      <c r="H11" s="125">
        <f>E11/C11-1</f>
        <v/>
      </c>
      <c r="J11" s="126">
        <f>E11-D11</f>
        <v/>
      </c>
      <c r="K11" s="127">
        <f>E11-C11</f>
        <v/>
      </c>
      <c r="M11" s="128">
        <f>C11/C16</f>
        <v/>
      </c>
      <c r="N11" s="124">
        <f>D11/D16</f>
        <v/>
      </c>
      <c r="O11" s="124">
        <f>E11/E16</f>
        <v/>
      </c>
      <c r="P11" s="128">
        <f>O11-N11</f>
        <v/>
      </c>
      <c r="Q11" s="128">
        <f>O11-M11</f>
        <v/>
      </c>
    </row>
    <row r="12" ht="14.25" customHeight="1" s="113">
      <c r="B12" s="16" t="inlineStr">
        <is>
          <t>CLUBE GIRO</t>
        </is>
      </c>
      <c r="C12" s="122" t="n">
        <v>2710367.73</v>
      </c>
      <c r="D12" s="122" t="n">
        <v>2919978.892060752</v>
      </c>
      <c r="E12" s="123" t="n">
        <v>2683209.28</v>
      </c>
      <c r="G12" s="124">
        <f>E12/D12-1</f>
        <v/>
      </c>
      <c r="H12" s="125">
        <f>E12/C12-1</f>
        <v/>
      </c>
      <c r="J12" s="126">
        <f>E12-D12</f>
        <v/>
      </c>
      <c r="K12" s="127">
        <f>E12-C12</f>
        <v/>
      </c>
      <c r="M12" s="128">
        <f>C12/C16</f>
        <v/>
      </c>
      <c r="N12" s="124">
        <f>D12/D16</f>
        <v/>
      </c>
      <c r="O12" s="124">
        <f>E12/E16</f>
        <v/>
      </c>
      <c r="P12" s="128">
        <f>O12-N12</f>
        <v/>
      </c>
      <c r="Q12" s="128">
        <f>O12-M12</f>
        <v/>
      </c>
    </row>
    <row r="13" ht="14.25" customHeight="1" s="113">
      <c r="B13" s="16" t="inlineStr">
        <is>
          <t>WEMOBI</t>
        </is>
      </c>
      <c r="C13" s="131" t="n">
        <v>1167316.93</v>
      </c>
      <c r="D13" s="122" t="n">
        <v>1277064.067506307</v>
      </c>
      <c r="E13" s="123" t="n">
        <v>1309820.37</v>
      </c>
      <c r="G13" s="124">
        <f>E13/D13-1</f>
        <v/>
      </c>
      <c r="H13" s="125">
        <f>E13/C13-1</f>
        <v/>
      </c>
      <c r="J13" s="126">
        <f>E13-D13</f>
        <v/>
      </c>
      <c r="K13" s="127">
        <f>E13-C13</f>
        <v/>
      </c>
      <c r="M13" s="128">
        <f>C13/C16</f>
        <v/>
      </c>
      <c r="N13" s="124">
        <f>D13/D16</f>
        <v/>
      </c>
      <c r="O13" s="124">
        <f>E13/E16</f>
        <v/>
      </c>
      <c r="P13" s="128">
        <f>O13-N13</f>
        <v/>
      </c>
      <c r="Q13" s="128">
        <f>O13-M13</f>
        <v/>
      </c>
    </row>
    <row r="14" ht="14.25" customHeight="1" s="113">
      <c r="B14" s="16" t="inlineStr">
        <is>
          <t>TOTEM</t>
        </is>
      </c>
      <c r="C14" s="122" t="n">
        <v>1377527.24</v>
      </c>
      <c r="D14" s="122" t="n">
        <v>1773488.7906</v>
      </c>
      <c r="E14" s="123" t="n">
        <v>1273862.71</v>
      </c>
      <c r="G14" s="124">
        <f>E14/D14-1</f>
        <v/>
      </c>
      <c r="H14" s="125">
        <f>E14/C14-1</f>
        <v/>
      </c>
      <c r="J14" s="126">
        <f>E14-D14</f>
        <v/>
      </c>
      <c r="K14" s="127">
        <f>E14-C14</f>
        <v/>
      </c>
      <c r="M14" s="128">
        <f>C14/C16</f>
        <v/>
      </c>
      <c r="N14" s="124">
        <f>D14/D16</f>
        <v/>
      </c>
      <c r="O14" s="124">
        <f>E14/E16</f>
        <v/>
      </c>
      <c r="P14" s="128">
        <f>O14-N14</f>
        <v/>
      </c>
      <c r="Q14" s="128">
        <f>O14-M14</f>
        <v/>
      </c>
    </row>
    <row r="15" ht="14.25" customHeight="1" s="113" thickBot="1">
      <c r="B15" s="10" t="inlineStr">
        <is>
          <t>GIPSYY</t>
        </is>
      </c>
      <c r="C15" s="129" t="n">
        <v>59462.61</v>
      </c>
      <c r="D15" s="129" t="n">
        <v>67126.05074296132</v>
      </c>
      <c r="E15" s="130" t="n">
        <v>3514.95</v>
      </c>
      <c r="G15" s="132">
        <f>E15/D15-1</f>
        <v/>
      </c>
      <c r="H15" s="133">
        <f>E15/C15-1</f>
        <v/>
      </c>
      <c r="J15" s="134">
        <f>E15-D15</f>
        <v/>
      </c>
      <c r="K15" s="135">
        <f>E15-C15</f>
        <v/>
      </c>
      <c r="M15" s="136">
        <f>C15/C16</f>
        <v/>
      </c>
      <c r="N15" s="132">
        <f>D15/D16</f>
        <v/>
      </c>
      <c r="O15" s="132">
        <f>E15/E16</f>
        <v/>
      </c>
      <c r="P15" s="136">
        <f>O15-N15</f>
        <v/>
      </c>
      <c r="Q15" s="136">
        <f>O15-M15</f>
        <v/>
      </c>
    </row>
    <row r="16" ht="14.25" customHeight="1" s="113" thickBot="1">
      <c r="B16" s="1" t="inlineStr">
        <is>
          <t>TOTAL</t>
        </is>
      </c>
      <c r="C16" s="137">
        <f>SUM(C5:C15)</f>
        <v/>
      </c>
      <c r="D16" s="137">
        <f>SUM(D5:D15)</f>
        <v/>
      </c>
      <c r="E16" s="138">
        <f>SUM(E5:E15)</f>
        <v/>
      </c>
      <c r="G16" s="139">
        <f>E16/D16-1</f>
        <v/>
      </c>
      <c r="H16" s="140">
        <f>E16/C16-1</f>
        <v/>
      </c>
      <c r="J16" s="141">
        <f>E16-D16</f>
        <v/>
      </c>
      <c r="K16" s="142">
        <f>E16-C16</f>
        <v/>
      </c>
    </row>
    <row r="17" ht="14.25" customHeight="1" s="113" thickBot="1">
      <c r="C17" s="43" t="n"/>
      <c r="D17" s="43" t="n"/>
      <c r="E17" s="44" t="n"/>
    </row>
    <row r="18" ht="14.25" customHeight="1" s="113" thickBot="1">
      <c r="B18" s="1" t="inlineStr">
        <is>
          <t>CANAIS</t>
        </is>
      </c>
      <c r="C18" s="1" t="n">
        <v>2025</v>
      </c>
      <c r="D18" s="1" t="inlineStr">
        <is>
          <t>ORÇADO 2026</t>
        </is>
      </c>
      <c r="E18" s="2" t="n">
        <v>2026</v>
      </c>
      <c r="G18" s="2" t="inlineStr">
        <is>
          <t>% 26 X ORÇ.</t>
        </is>
      </c>
      <c r="H18" s="2" t="inlineStr">
        <is>
          <t>% 25 x 26</t>
        </is>
      </c>
      <c r="J18" s="2" t="inlineStr">
        <is>
          <t>DIF 26 X ORÇ.</t>
        </is>
      </c>
      <c r="K18" s="2" t="inlineStr">
        <is>
          <t>DIF 25 X 26</t>
        </is>
      </c>
      <c r="M18" s="28" t="inlineStr">
        <is>
          <t>% PART. 25</t>
        </is>
      </c>
      <c r="N18" s="28" t="inlineStr">
        <is>
          <t>% PART. 26 ORÇ.</t>
        </is>
      </c>
      <c r="O18" s="28" t="inlineStr">
        <is>
          <t>% PART. 26</t>
        </is>
      </c>
      <c r="P18" s="28" t="inlineStr">
        <is>
          <t>p.p 2026</t>
        </is>
      </c>
      <c r="Q18" s="3" t="inlineStr">
        <is>
          <t>% VAR</t>
        </is>
      </c>
    </row>
    <row r="19" ht="14.25" customHeight="1" s="113">
      <c r="B19" s="16" t="inlineStr">
        <is>
          <t>OFFLINE</t>
        </is>
      </c>
      <c r="C19" s="43">
        <f>C5+C6+C7+C8</f>
        <v/>
      </c>
      <c r="D19" s="43">
        <f>D5+D6+D7+D8</f>
        <v/>
      </c>
      <c r="E19" s="44">
        <f>E5+E6+E7+E8</f>
        <v/>
      </c>
      <c r="G19" s="45">
        <f>E19/D19-1</f>
        <v/>
      </c>
      <c r="H19" s="46">
        <f>E19/C19-1</f>
        <v/>
      </c>
      <c r="J19" s="47">
        <f>E19-D19</f>
        <v/>
      </c>
      <c r="K19" s="48">
        <f>E19-C19</f>
        <v/>
      </c>
      <c r="M19" s="9">
        <f>M5+M6+M7+M8</f>
        <v/>
      </c>
      <c r="N19" s="35">
        <f>D19/D21</f>
        <v/>
      </c>
      <c r="O19" s="35">
        <f>O5+O6+O7+O8</f>
        <v/>
      </c>
      <c r="P19" s="35">
        <f>O19-N19</f>
        <v/>
      </c>
      <c r="Q19" s="9">
        <f>O19-M19</f>
        <v/>
      </c>
    </row>
    <row r="20" ht="14.25" customHeight="1" s="113" thickBot="1">
      <c r="B20" s="10" t="inlineStr">
        <is>
          <t>ONLINE</t>
        </is>
      </c>
      <c r="C20" s="36">
        <f>C9+C10+C11+C12+C13+C14+C15</f>
        <v/>
      </c>
      <c r="D20" s="36">
        <f>D9+D10+D11+D12+D13+D14+D15</f>
        <v/>
      </c>
      <c r="E20" s="37">
        <f>E9+E10+E11+E12+E13+E14+E15</f>
        <v/>
      </c>
      <c r="G20" s="45">
        <f>E20/D20-1</f>
        <v/>
      </c>
      <c r="H20" s="46">
        <f>E20/C20-1</f>
        <v/>
      </c>
      <c r="J20" s="47">
        <f>E20-D20</f>
        <v/>
      </c>
      <c r="K20" s="48">
        <f>E20-C20</f>
        <v/>
      </c>
      <c r="M20" s="15">
        <f>M9+M10+M11+M12+M13+M14+M15</f>
        <v/>
      </c>
      <c r="N20" s="42">
        <f>D20/D21</f>
        <v/>
      </c>
      <c r="O20" s="42">
        <f>O9+O10+O11+O12+O13+O14+O15</f>
        <v/>
      </c>
      <c r="P20" s="42">
        <f>O20-N20</f>
        <v/>
      </c>
      <c r="Q20" s="15">
        <f>O20-M20</f>
        <v/>
      </c>
    </row>
    <row r="21" ht="14.25" customHeight="1" s="113" thickBot="1">
      <c r="B21" s="1" t="inlineStr">
        <is>
          <t>TOTAL</t>
        </is>
      </c>
      <c r="C21" s="56">
        <f>C19+C20</f>
        <v/>
      </c>
      <c r="D21" s="56">
        <f>D19+D20</f>
        <v/>
      </c>
      <c r="E21" s="56">
        <f>E19+E20</f>
        <v/>
      </c>
      <c r="G21" s="52">
        <f>E21/D21-1</f>
        <v/>
      </c>
      <c r="H21" s="53">
        <f>E21/C21-1</f>
        <v/>
      </c>
      <c r="J21" s="54">
        <f>E21-D21</f>
        <v/>
      </c>
      <c r="K21" s="55">
        <f>E21-C21</f>
        <v/>
      </c>
    </row>
    <row r="22" ht="14.25" customHeight="1" s="113"/>
    <row r="23" ht="14.25" customHeight="1" s="113" thickBot="1"/>
    <row r="24" ht="14.25" customHeight="1" s="113" thickBot="1">
      <c r="B24" s="28" t="inlineStr">
        <is>
          <t>CANAIS</t>
        </is>
      </c>
      <c r="C24" s="28" t="inlineStr">
        <is>
          <t>TM 2025</t>
        </is>
      </c>
      <c r="D24" s="3" t="inlineStr">
        <is>
          <t>TM 2026</t>
        </is>
      </c>
      <c r="E24" s="3" t="inlineStr">
        <is>
          <t>% 25 x 26</t>
        </is>
      </c>
      <c r="G24" s="3" t="inlineStr">
        <is>
          <t>DIF 25 X 26</t>
        </is>
      </c>
      <c r="H24" s="60" t="n"/>
      <c r="J24" s="60" t="n"/>
      <c r="K24" s="60" t="n"/>
    </row>
    <row r="25" ht="14.25" customHeight="1" s="113">
      <c r="B25" s="4" t="inlineStr">
        <is>
          <t>GUICHÊS PRÓPRIOS UTP</t>
        </is>
      </c>
      <c r="C25" s="143" t="n">
        <v>65.61</v>
      </c>
      <c r="D25" s="144" t="n">
        <v>67.2</v>
      </c>
      <c r="E25" s="121">
        <f>D25/C25-1</f>
        <v/>
      </c>
      <c r="G25" s="145">
        <f>D25-C25</f>
        <v/>
      </c>
      <c r="H25" s="146" t="n"/>
      <c r="J25" s="146" t="n"/>
      <c r="K25" s="146" t="n"/>
    </row>
    <row r="26" ht="14.25" customHeight="1" s="113">
      <c r="B26" s="16" t="inlineStr">
        <is>
          <t>GUICHÊS TERCEIROS UTP</t>
        </is>
      </c>
      <c r="C26" s="147" t="n">
        <v>73.72</v>
      </c>
      <c r="D26" s="148" t="n">
        <v>78.67</v>
      </c>
      <c r="E26" s="128">
        <f>D26/C26-1</f>
        <v/>
      </c>
      <c r="G26" s="149">
        <f>D26-C26</f>
        <v/>
      </c>
      <c r="H26" s="146" t="n"/>
      <c r="J26" s="146" t="n"/>
      <c r="K26" s="146" t="n"/>
    </row>
    <row r="27" ht="14.25" customHeight="1" s="113">
      <c r="B27" s="16" t="inlineStr">
        <is>
          <t>VENDA CORPORATIVA</t>
        </is>
      </c>
      <c r="C27" s="147" t="n">
        <v>39.6</v>
      </c>
      <c r="D27" s="148" t="n">
        <v>42.63</v>
      </c>
      <c r="E27" s="128">
        <f>D27/C27-1</f>
        <v/>
      </c>
      <c r="G27" s="149">
        <f>D27-C27</f>
        <v/>
      </c>
      <c r="H27" s="146" t="n"/>
      <c r="J27" s="146" t="n"/>
      <c r="K27" s="146" t="n"/>
    </row>
    <row r="28" ht="14.25" customHeight="1" s="113" thickBot="1">
      <c r="B28" s="10" t="inlineStr">
        <is>
          <t>VENDA EMBARCADA</t>
        </is>
      </c>
      <c r="C28" s="150" t="n">
        <v>28.3</v>
      </c>
      <c r="D28" s="151" t="n">
        <v>32.87</v>
      </c>
      <c r="E28" s="136">
        <f>D28/C28-1</f>
        <v/>
      </c>
      <c r="G28" s="152">
        <f>D28-C28</f>
        <v/>
      </c>
      <c r="H28" s="146" t="n"/>
      <c r="J28" s="146" t="n"/>
      <c r="K28" s="146" t="n"/>
    </row>
    <row r="29" ht="14.25" customHeight="1" s="113">
      <c r="B29" s="16" t="inlineStr">
        <is>
          <t>SITES PRÓPRIOS UTP</t>
        </is>
      </c>
      <c r="C29" s="147" t="n">
        <v>93.42</v>
      </c>
      <c r="D29" s="148" t="n">
        <v>97.01000000000001</v>
      </c>
      <c r="E29" s="125">
        <f>D29/C29-1</f>
        <v/>
      </c>
      <c r="G29" s="149">
        <f>D29-C29</f>
        <v/>
      </c>
      <c r="H29" s="146" t="n"/>
      <c r="J29" s="146" t="n"/>
      <c r="K29" s="146" t="n"/>
    </row>
    <row r="30" ht="14.25" customHeight="1" s="113">
      <c r="B30" s="16" t="inlineStr">
        <is>
          <t>SITES TERCEIROS UTP</t>
        </is>
      </c>
      <c r="C30" s="147" t="n">
        <v>105.66</v>
      </c>
      <c r="D30" s="148" t="n">
        <v>102.96</v>
      </c>
      <c r="E30" s="125">
        <f>D30/C30-1</f>
        <v/>
      </c>
      <c r="G30" s="149">
        <f>D30-C30</f>
        <v/>
      </c>
      <c r="H30" s="146" t="n"/>
      <c r="J30" s="146" t="n"/>
      <c r="K30" s="146" t="n"/>
    </row>
    <row r="31" ht="14.25" customHeight="1" s="113">
      <c r="B31" s="16" t="inlineStr">
        <is>
          <t>OUTLET DE PASSAGENS</t>
        </is>
      </c>
      <c r="C31" s="147" t="n">
        <v>65.97</v>
      </c>
      <c r="D31" s="148" t="n">
        <v>70.70999999999999</v>
      </c>
      <c r="E31" s="125">
        <f>D31/C31-1</f>
        <v/>
      </c>
      <c r="G31" s="149">
        <f>D31-C31</f>
        <v/>
      </c>
      <c r="H31" s="146" t="n"/>
      <c r="J31" s="146" t="n"/>
      <c r="K31" s="146" t="n"/>
    </row>
    <row r="32" ht="14.25" customHeight="1" s="113">
      <c r="B32" s="16" t="inlineStr">
        <is>
          <t>CLUBE GIRO</t>
        </is>
      </c>
      <c r="C32" s="147" t="n">
        <v>69.19</v>
      </c>
      <c r="D32" s="148" t="n">
        <v>77.54000000000001</v>
      </c>
      <c r="E32" s="125">
        <f>D32/C32-1</f>
        <v/>
      </c>
      <c r="G32" s="149">
        <f>D32-C32</f>
        <v/>
      </c>
      <c r="H32" s="146" t="inlineStr">
        <is>
          <t>&lt;-</t>
        </is>
      </c>
      <c r="J32" s="153" t="inlineStr">
        <is>
          <t>atualizado até dia 13</t>
        </is>
      </c>
      <c r="K32" s="146" t="n"/>
    </row>
    <row r="33" ht="14.25" customHeight="1" s="113">
      <c r="B33" s="16" t="inlineStr">
        <is>
          <t>WEMOBI</t>
        </is>
      </c>
      <c r="C33" s="147" t="n">
        <v>89.98999999999999</v>
      </c>
      <c r="D33" s="148" t="n">
        <v>82.31</v>
      </c>
      <c r="E33" s="125">
        <f>D33/C33-1</f>
        <v/>
      </c>
      <c r="G33" s="149">
        <f>D33-C33</f>
        <v/>
      </c>
      <c r="H33" s="146" t="n"/>
      <c r="J33" s="146" t="n"/>
      <c r="K33" s="146" t="n"/>
    </row>
    <row r="34" ht="14.25" customHeight="1" s="113">
      <c r="B34" s="16" t="inlineStr">
        <is>
          <t>TOTEM</t>
        </is>
      </c>
      <c r="C34" s="147" t="n">
        <v>64.34</v>
      </c>
      <c r="D34" s="148" t="n">
        <v>60.54</v>
      </c>
      <c r="E34" s="125">
        <f>D34/C34-1</f>
        <v/>
      </c>
      <c r="G34" s="149">
        <f>D34-C34</f>
        <v/>
      </c>
      <c r="H34" s="146" t="n"/>
      <c r="J34" s="146" t="n"/>
      <c r="K34" s="146" t="n"/>
    </row>
    <row r="35" ht="14.25" customHeight="1" s="113" thickBot="1">
      <c r="B35" s="10" t="inlineStr">
        <is>
          <t>GIPSYY</t>
        </is>
      </c>
      <c r="C35" s="150" t="n">
        <v>107.23</v>
      </c>
      <c r="D35" s="151" t="n">
        <v>106.81</v>
      </c>
      <c r="E35" s="133">
        <f>D35/C35-1</f>
        <v/>
      </c>
      <c r="G35" s="149">
        <f>D35-C35</f>
        <v/>
      </c>
      <c r="H35" s="146" t="n"/>
      <c r="J35" s="146" t="n"/>
      <c r="K35" s="146" t="n"/>
    </row>
    <row r="36" ht="14.25" customHeight="1" s="113" thickBot="1">
      <c r="B36" s="1" t="inlineStr">
        <is>
          <t>TOTAL</t>
        </is>
      </c>
      <c r="C36" s="154" t="n">
        <v>79.54000000000001</v>
      </c>
      <c r="D36" s="155" t="n">
        <v>82.33</v>
      </c>
      <c r="E36" s="140">
        <f>D36/C36-1</f>
        <v/>
      </c>
      <c r="G36" s="156">
        <f>D36-C36</f>
        <v/>
      </c>
    </row>
    <row r="37" ht="14.25" customHeight="1" s="113" thickBot="1"/>
    <row r="38" ht="14.25" customHeight="1" s="113" thickBot="1">
      <c r="B38" s="1" t="inlineStr">
        <is>
          <t>CANAIS</t>
        </is>
      </c>
      <c r="C38" s="1" t="inlineStr">
        <is>
          <t>TM 2025</t>
        </is>
      </c>
      <c r="D38" s="2" t="inlineStr">
        <is>
          <t>TM 2026</t>
        </is>
      </c>
      <c r="E38" s="2" t="inlineStr">
        <is>
          <t>% 25 x 26</t>
        </is>
      </c>
      <c r="G38" s="3" t="inlineStr">
        <is>
          <t>DIF 25 X 26</t>
        </is>
      </c>
      <c r="H38" s="60" t="n"/>
      <c r="J38" s="60" t="n"/>
      <c r="K38" s="60" t="n"/>
    </row>
    <row r="39" ht="14.25" customHeight="1" s="113">
      <c r="B39" s="4" t="inlineStr">
        <is>
          <t>OFFLINE</t>
        </is>
      </c>
      <c r="C39" s="143" t="n">
        <v>64.91</v>
      </c>
      <c r="D39" s="144" t="n">
        <v>67.72</v>
      </c>
      <c r="E39" s="118">
        <f>D39/C39-1</f>
        <v/>
      </c>
      <c r="G39" s="145">
        <f>D39-C39</f>
        <v/>
      </c>
      <c r="H39" s="146" t="n"/>
      <c r="J39" s="146" t="n"/>
      <c r="K39" s="146" t="n"/>
    </row>
    <row r="40" ht="14.25" customHeight="1" s="113" thickBot="1">
      <c r="B40" s="10" t="inlineStr">
        <is>
          <t>ONLINE</t>
        </is>
      </c>
      <c r="C40" s="150" t="n">
        <v>93.84999999999999</v>
      </c>
      <c r="D40" s="151" t="n">
        <v>95.33</v>
      </c>
      <c r="E40" s="133">
        <f>D40/C40-1</f>
        <v/>
      </c>
      <c r="G40" s="152">
        <f>D40-C40</f>
        <v/>
      </c>
      <c r="H40" s="146" t="n"/>
      <c r="J40" s="146" t="n"/>
      <c r="K40" s="146" t="n"/>
    </row>
    <row r="41" ht="14.25" customHeight="1" s="113"/>
    <row r="42" ht="14.25" customHeight="1" s="113" thickBot="1"/>
    <row r="43" ht="14.25" customHeight="1" s="113" thickBot="1">
      <c r="B43" s="28" t="inlineStr">
        <is>
          <t>CANAIS</t>
        </is>
      </c>
      <c r="C43" s="28" t="inlineStr">
        <is>
          <t>PAX 2025</t>
        </is>
      </c>
      <c r="D43" s="3" t="inlineStr">
        <is>
          <t>PAX 2026</t>
        </is>
      </c>
      <c r="E43" s="3" t="inlineStr">
        <is>
          <t>% 25 x 26</t>
        </is>
      </c>
      <c r="G43" s="3" t="inlineStr">
        <is>
          <t>DIF 25 X 26</t>
        </is>
      </c>
      <c r="H43" s="60" t="n"/>
      <c r="J43" s="60" t="n"/>
      <c r="K43" s="60" t="n"/>
    </row>
    <row r="44" ht="14.25" customHeight="1" s="113">
      <c r="B44" s="4" t="inlineStr">
        <is>
          <t>GUICHÊS PRÓPRIOS UTP</t>
        </is>
      </c>
      <c r="C44" s="73" t="n">
        <v>351309</v>
      </c>
      <c r="D44" s="73" t="n">
        <v>325122</v>
      </c>
      <c r="E44" s="121">
        <f>D44/C44-1</f>
        <v/>
      </c>
      <c r="G44" s="157">
        <f>D44-C44</f>
        <v/>
      </c>
      <c r="H44" s="146" t="n"/>
      <c r="J44" s="146" t="n"/>
      <c r="K44" s="146" t="n"/>
    </row>
    <row r="45" ht="14.25" customHeight="1" s="113">
      <c r="B45" s="16" t="inlineStr">
        <is>
          <t>GUICHÊS TERCEIROS UTP</t>
        </is>
      </c>
      <c r="C45" s="79" t="n">
        <v>145036</v>
      </c>
      <c r="D45" s="79" t="n">
        <v>124815</v>
      </c>
      <c r="E45" s="128">
        <f>D45/C45-1</f>
        <v/>
      </c>
      <c r="G45" s="158">
        <f>D45-C45</f>
        <v/>
      </c>
      <c r="H45" s="146" t="n"/>
      <c r="J45" s="146" t="n"/>
      <c r="K45" s="146" t="n"/>
    </row>
    <row r="46" ht="14.25" customHeight="1" s="113">
      <c r="B46" s="16" t="inlineStr">
        <is>
          <t>VENDA CORPORATIVA</t>
        </is>
      </c>
      <c r="C46" s="79" t="n">
        <v>15838</v>
      </c>
      <c r="D46" s="79" t="n">
        <v>14254</v>
      </c>
      <c r="E46" s="128">
        <f>D46/C46-1</f>
        <v/>
      </c>
      <c r="G46" s="158">
        <f>D46-C46</f>
        <v/>
      </c>
      <c r="H46" s="146" t="n"/>
      <c r="J46" s="146" t="n"/>
      <c r="K46" s="146" t="n"/>
    </row>
    <row r="47" ht="14.25" customHeight="1" s="113" thickBot="1">
      <c r="B47" s="10" t="inlineStr">
        <is>
          <t>VENDA EMBARCADA</t>
        </is>
      </c>
      <c r="C47" s="76" t="n">
        <v>31932</v>
      </c>
      <c r="D47" s="76" t="n">
        <v>24930</v>
      </c>
      <c r="E47" s="136">
        <f>D47/C47-1</f>
        <v/>
      </c>
      <c r="G47" s="159">
        <f>D47-C47</f>
        <v/>
      </c>
      <c r="H47" s="146" t="n"/>
      <c r="J47" s="146" t="n"/>
      <c r="K47" s="146" t="n"/>
    </row>
    <row r="48" ht="14.25" customHeight="1" s="113">
      <c r="B48" s="16" t="inlineStr">
        <is>
          <t>SITES PRÓPRIOS UTP</t>
        </is>
      </c>
      <c r="C48" s="79" t="n">
        <v>252072</v>
      </c>
      <c r="D48" s="80" t="n">
        <v>232571</v>
      </c>
      <c r="E48" s="125">
        <f>D48/C48-1</f>
        <v/>
      </c>
      <c r="G48" s="158">
        <f>D48-C48</f>
        <v/>
      </c>
      <c r="H48" s="146" t="n"/>
      <c r="J48" s="146" t="n"/>
      <c r="K48" s="146" t="n"/>
    </row>
    <row r="49" ht="14.25" customHeight="1" s="113">
      <c r="B49" s="16" t="inlineStr">
        <is>
          <t>SITES TERCEIROS UTP</t>
        </is>
      </c>
      <c r="C49" s="79" t="n">
        <v>186739</v>
      </c>
      <c r="D49" s="80" t="n">
        <v>202239</v>
      </c>
      <c r="E49" s="125">
        <f>D49/C49-1</f>
        <v/>
      </c>
      <c r="G49" s="158">
        <f>D49-C49</f>
        <v/>
      </c>
      <c r="H49" s="146" t="n"/>
      <c r="J49" s="146" t="n"/>
      <c r="K49" s="146" t="n"/>
    </row>
    <row r="50" ht="14.25" customHeight="1" s="113">
      <c r="B50" s="16" t="inlineStr">
        <is>
          <t>OUTLET DE PASSAGENS</t>
        </is>
      </c>
      <c r="C50" s="79" t="n">
        <v>18478</v>
      </c>
      <c r="D50" s="80" t="n">
        <v>17171</v>
      </c>
      <c r="E50" s="125">
        <f>D50/C50-1</f>
        <v/>
      </c>
      <c r="G50" s="158">
        <f>D50-C50</f>
        <v/>
      </c>
      <c r="H50" s="146" t="n"/>
      <c r="J50" s="146" t="n"/>
      <c r="K50" s="146" t="n"/>
    </row>
    <row r="51" ht="14.25" customHeight="1" s="113">
      <c r="B51" s="16" t="inlineStr">
        <is>
          <t>CLUBE GIRO</t>
        </is>
      </c>
      <c r="C51" s="79" t="n">
        <v>38940</v>
      </c>
      <c r="D51" s="80" t="n">
        <v>34548</v>
      </c>
      <c r="E51" s="125">
        <f>D51/C51-1</f>
        <v/>
      </c>
      <c r="G51" s="158">
        <f>D51-C51</f>
        <v/>
      </c>
      <c r="H51" s="146" t="n"/>
      <c r="J51" s="146" t="n"/>
      <c r="K51" s="146" t="n"/>
    </row>
    <row r="52" ht="14.25" customHeight="1" s="113">
      <c r="B52" s="16" t="inlineStr">
        <is>
          <t>WEMOBI</t>
        </is>
      </c>
      <c r="C52" s="79" t="n">
        <v>12813</v>
      </c>
      <c r="D52" s="80" t="n">
        <v>15726</v>
      </c>
      <c r="E52" s="125">
        <f>D52/C52-1</f>
        <v/>
      </c>
      <c r="G52" s="158">
        <f>D52-C52</f>
        <v/>
      </c>
      <c r="H52" s="146" t="n"/>
      <c r="J52" s="146" t="n"/>
      <c r="K52" s="146" t="n"/>
    </row>
    <row r="53" ht="14.25" customHeight="1" s="113">
      <c r="B53" s="16" t="inlineStr">
        <is>
          <t>TOTEM</t>
        </is>
      </c>
      <c r="C53" s="79" t="n">
        <v>21395</v>
      </c>
      <c r="D53" s="80" t="n">
        <v>21043</v>
      </c>
      <c r="E53" s="125">
        <f>D53/C53-1</f>
        <v/>
      </c>
      <c r="G53" s="158">
        <f>D53-C53</f>
        <v/>
      </c>
      <c r="H53" s="146" t="n"/>
      <c r="J53" s="146" t="n"/>
      <c r="K53" s="146" t="n"/>
    </row>
    <row r="54" ht="14.25" customHeight="1" s="113" thickBot="1">
      <c r="B54" s="10" t="inlineStr">
        <is>
          <t>GIPSYY</t>
        </is>
      </c>
      <c r="C54" s="76" t="n">
        <v>550</v>
      </c>
      <c r="D54" s="77" t="n">
        <v>32</v>
      </c>
      <c r="E54" s="125">
        <f>D54/C54-1</f>
        <v/>
      </c>
      <c r="G54" s="158">
        <f>D54-C54</f>
        <v/>
      </c>
      <c r="H54" s="146" t="n"/>
      <c r="J54" s="146" t="n"/>
      <c r="K54" s="146" t="n"/>
    </row>
    <row r="55" ht="14.25" customHeight="1" s="113" thickBot="1">
      <c r="B55" s="1" t="inlineStr">
        <is>
          <t>TOTAL</t>
        </is>
      </c>
      <c r="C55" s="160">
        <f>SUM(C44:C54)</f>
        <v/>
      </c>
      <c r="D55" s="161">
        <f>SUM(D44:D54)</f>
        <v/>
      </c>
      <c r="E55" s="140">
        <f>D55/C55-1</f>
        <v/>
      </c>
      <c r="G55" s="162">
        <f>D55-C55</f>
        <v/>
      </c>
    </row>
    <row r="56" ht="14.25" customHeight="1" s="113" thickBot="1"/>
    <row r="57" ht="14.25" customHeight="1" s="113" thickBot="1">
      <c r="B57" s="1" t="inlineStr">
        <is>
          <t>CANAIS</t>
        </is>
      </c>
      <c r="C57" s="1" t="inlineStr">
        <is>
          <t>PAX 2025</t>
        </is>
      </c>
      <c r="D57" s="2" t="inlineStr">
        <is>
          <t>PAX 2026</t>
        </is>
      </c>
      <c r="E57" s="2" t="inlineStr">
        <is>
          <t>% 25 x 26</t>
        </is>
      </c>
      <c r="G57" s="2" t="inlineStr">
        <is>
          <t>DIF 25 X 26</t>
        </is>
      </c>
      <c r="H57" s="60" t="n"/>
      <c r="J57" s="60" t="n"/>
      <c r="K57" s="60" t="n"/>
    </row>
    <row r="58" ht="14.25" customHeight="1" s="113">
      <c r="B58" s="16" t="inlineStr">
        <is>
          <t>OFFLINE</t>
        </is>
      </c>
      <c r="C58" s="79">
        <f>C44+C47+C45+C46</f>
        <v/>
      </c>
      <c r="D58" s="80">
        <f>D44+D47+D45+D46</f>
        <v/>
      </c>
      <c r="E58" s="46">
        <f>D58/C58-1</f>
        <v/>
      </c>
      <c r="G58" s="81">
        <f>D58-C58</f>
        <v/>
      </c>
      <c r="H58" s="64" t="n"/>
      <c r="J58" s="64" t="n"/>
      <c r="K58" s="64" t="n"/>
    </row>
    <row r="59" ht="14.25" customHeight="1" s="113" thickBot="1">
      <c r="B59" s="10" t="inlineStr">
        <is>
          <t>ONLINE</t>
        </is>
      </c>
      <c r="C59" s="76">
        <f>C48+C49+C50+C51+C52+C53+C54</f>
        <v/>
      </c>
      <c r="D59" s="77">
        <f>D48+D49+D50+D51+D52+D53+D54</f>
        <v/>
      </c>
      <c r="E59" s="46">
        <f>D59/C59-1</f>
        <v/>
      </c>
      <c r="G59" s="81">
        <f>D59-C59</f>
        <v/>
      </c>
      <c r="H59" s="64" t="n"/>
      <c r="J59" s="64" t="n"/>
      <c r="K59" s="64" t="n"/>
    </row>
    <row r="60" ht="14.25" customHeight="1" s="113" thickBot="1">
      <c r="B60" s="1" t="inlineStr">
        <is>
          <t>TOTAL</t>
        </is>
      </c>
      <c r="C60" s="82">
        <f>C58+C59</f>
        <v/>
      </c>
      <c r="D60" s="82">
        <f>D58+D59</f>
        <v/>
      </c>
      <c r="E60" s="53">
        <f>D60/C60-1</f>
        <v/>
      </c>
      <c r="G60" s="84">
        <f>D60-C60</f>
        <v/>
      </c>
    </row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mergeCells count="1">
    <mergeCell ref="B2:C2"/>
  </mergeCells>
  <conditionalFormatting sqref="A1:XFD1048576">
    <cfRule type="cellIs" priority="1" operator="lessThan" dxfId="0">
      <formula>0</formula>
    </cfRule>
  </conditionalFormatting>
  <pageMargins left="0.511811024" right="0.511811024" top="0.787401575" bottom="0.787401575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ColWidth="14.44140625" defaultRowHeight="15.05" customHeight="1"/>
  <cols>
    <col width="3.33203125" customWidth="1" style="113" min="1" max="1"/>
    <col width="32.5546875" customWidth="1" style="113" min="2" max="2"/>
    <col width="22.44140625" customWidth="1" style="113" min="3" max="3"/>
    <col width="20.6640625" customWidth="1" style="113" min="4" max="4"/>
    <col width="2.44140625" customWidth="1" style="113" min="5" max="5"/>
    <col width="13.6640625" customWidth="1" style="113" min="6" max="6"/>
    <col width="20.6640625" customWidth="1" style="113" min="7" max="7"/>
    <col width="3" customWidth="1" style="113" min="8" max="8"/>
    <col width="10.6640625" customWidth="1" style="113" min="9" max="10"/>
    <col width="6.6640625" customWidth="1" style="113" min="11" max="11"/>
    <col width="8.6640625" customWidth="1" style="113" min="12" max="26"/>
  </cols>
  <sheetData>
    <row r="1" ht="14.25" customHeight="1" s="113"/>
    <row r="2" ht="14.25" customHeight="1" s="113">
      <c r="B2" s="88" t="inlineStr">
        <is>
          <t>Atualizado até dia - 21/07/2025</t>
        </is>
      </c>
    </row>
    <row r="3" ht="14.25" customHeight="1" s="113"/>
    <row r="4" ht="14.25" customHeight="1" s="113">
      <c r="B4" s="89" t="inlineStr">
        <is>
          <t>CANAIS</t>
        </is>
      </c>
      <c r="C4" s="89" t="n">
        <v>2024</v>
      </c>
      <c r="D4" s="90" t="n">
        <v>2025</v>
      </c>
      <c r="F4" s="89" t="inlineStr">
        <is>
          <t>% 25 X 24</t>
        </is>
      </c>
      <c r="G4" s="90" t="inlineStr">
        <is>
          <t>DIF 25 X 24</t>
        </is>
      </c>
      <c r="I4" s="89" t="inlineStr">
        <is>
          <t>% PART. 25</t>
        </is>
      </c>
      <c r="J4" s="89" t="inlineStr">
        <is>
          <t>% PART. 24</t>
        </is>
      </c>
      <c r="K4" s="91" t="inlineStr">
        <is>
          <t>% VAR</t>
        </is>
      </c>
    </row>
    <row r="5" ht="14.25" customHeight="1" s="113">
      <c r="B5" s="4" t="inlineStr">
        <is>
          <t>GUICHÊS PRÓPRIOS UTP (OFFLINE)</t>
        </is>
      </c>
      <c r="C5" s="92" t="n">
        <v>26983848.33</v>
      </c>
      <c r="D5" s="93" t="n">
        <v>25454005.41</v>
      </c>
      <c r="F5" s="31">
        <f>D5/C5-1</f>
        <v/>
      </c>
      <c r="G5" s="8">
        <f>D5-C5</f>
        <v/>
      </c>
      <c r="I5" s="9" t="n">
        <v>0.305</v>
      </c>
      <c r="J5" s="35" t="n">
        <v>0.315</v>
      </c>
      <c r="K5" s="9">
        <f>I5-J5</f>
        <v/>
      </c>
    </row>
    <row r="6" ht="14.25" customHeight="1" s="113">
      <c r="B6" s="10" t="inlineStr">
        <is>
          <t>GUICHÊS TERCEIROS UTP (OFFLINE)</t>
        </is>
      </c>
      <c r="C6" s="94" t="n">
        <v>11353830.7</v>
      </c>
      <c r="D6" s="95" t="n">
        <v>11764095.63</v>
      </c>
      <c r="F6" s="38">
        <f>D6/C6-1</f>
        <v/>
      </c>
      <c r="G6" s="96">
        <f>D6-C6</f>
        <v/>
      </c>
      <c r="I6" s="15" t="n">
        <v>0.141</v>
      </c>
      <c r="J6" s="42" t="n">
        <v>0.1344</v>
      </c>
      <c r="K6" s="15">
        <f>I6-J6</f>
        <v/>
      </c>
    </row>
    <row r="7" ht="14.25" customHeight="1" s="113">
      <c r="B7" s="16" t="inlineStr">
        <is>
          <t>SITES PRÓPRIOS UTP (ONLINE)</t>
        </is>
      </c>
      <c r="C7" s="97" t="n">
        <v>24989283.89</v>
      </c>
      <c r="D7" s="98" t="n">
        <v>23097413.13</v>
      </c>
      <c r="F7" s="45">
        <f>D7/C7-1</f>
        <v/>
      </c>
      <c r="G7" s="14">
        <f>D7-C7</f>
        <v/>
      </c>
      <c r="I7" s="9" t="n">
        <v>0.277</v>
      </c>
      <c r="J7" s="35">
        <f>C7/C14</f>
        <v/>
      </c>
      <c r="K7" s="19">
        <f>I7-J7</f>
        <v/>
      </c>
    </row>
    <row r="8" ht="14.25" customHeight="1" s="113">
      <c r="B8" s="16" t="inlineStr">
        <is>
          <t>SITES TERCEIROS UTP (ONLINE)</t>
        </is>
      </c>
      <c r="C8" s="97" t="n">
        <v>16086908.94</v>
      </c>
      <c r="D8" s="98" t="n">
        <v>17038780.08</v>
      </c>
      <c r="F8" s="45">
        <f>D8/C8-1</f>
        <v/>
      </c>
      <c r="G8" s="14">
        <f>D8-C8</f>
        <v/>
      </c>
      <c r="I8" s="19" t="n">
        <v>0.204</v>
      </c>
      <c r="J8" s="49" t="n">
        <v>0.1887</v>
      </c>
      <c r="K8" s="19">
        <f>I8-J8</f>
        <v/>
      </c>
    </row>
    <row r="9" ht="14.25" customHeight="1" s="113">
      <c r="B9" s="16" t="inlineStr">
        <is>
          <t>OUTLET DE PASSAGENS</t>
        </is>
      </c>
      <c r="C9" s="97" t="n">
        <v>1303067.92</v>
      </c>
      <c r="D9" s="98" t="n">
        <v>1201490.79</v>
      </c>
      <c r="F9" s="45">
        <f>D9/C9-1</f>
        <v/>
      </c>
      <c r="G9" s="14">
        <f>D9-C9</f>
        <v/>
      </c>
      <c r="I9" s="19" t="n">
        <v>0.014</v>
      </c>
      <c r="J9" s="49" t="n">
        <v>0.0153</v>
      </c>
      <c r="K9" s="19">
        <f>I9-J9</f>
        <v/>
      </c>
    </row>
    <row r="10" ht="14.25" customHeight="1" s="113">
      <c r="B10" s="16" t="inlineStr">
        <is>
          <t>CLUBE GIRO</t>
        </is>
      </c>
      <c r="C10" s="97" t="n">
        <v>2136840.85</v>
      </c>
      <c r="D10" s="98" t="n">
        <v>2129845.8</v>
      </c>
      <c r="F10" s="45">
        <f>D10/C10-1</f>
        <v/>
      </c>
      <c r="G10" s="14">
        <f>D10-C10</f>
        <v/>
      </c>
      <c r="I10" s="19" t="n">
        <v>0.026</v>
      </c>
      <c r="J10" s="49" t="n">
        <v>0.025</v>
      </c>
      <c r="K10" s="19">
        <f>I10-J10</f>
        <v/>
      </c>
    </row>
    <row r="11" ht="14.25" customHeight="1" s="113">
      <c r="B11" s="16" t="inlineStr">
        <is>
          <t>WEMOBI</t>
        </is>
      </c>
      <c r="C11" s="97" t="n">
        <v>956391.6</v>
      </c>
      <c r="D11" s="98" t="n">
        <v>1213516.11</v>
      </c>
      <c r="F11" s="45">
        <f>D11/C11-1</f>
        <v/>
      </c>
      <c r="G11" s="14">
        <f>D11-C11</f>
        <v/>
      </c>
      <c r="I11" s="19" t="n">
        <v>0.015</v>
      </c>
      <c r="J11" s="49" t="n">
        <v>0.0113</v>
      </c>
      <c r="K11" s="19">
        <f>I11-J11</f>
        <v/>
      </c>
    </row>
    <row r="12" ht="14.25" customHeight="1" s="113">
      <c r="B12" s="16" t="inlineStr">
        <is>
          <t>TOTEM</t>
        </is>
      </c>
      <c r="C12" s="97" t="n">
        <v>1602872.15</v>
      </c>
      <c r="D12" s="98" t="n">
        <v>1372047.36</v>
      </c>
      <c r="F12" s="45">
        <f>D12/C12-1</f>
        <v/>
      </c>
      <c r="G12" s="14">
        <f>D12-C12</f>
        <v/>
      </c>
      <c r="I12" s="19" t="n">
        <v>0.016</v>
      </c>
      <c r="J12" s="49">
        <f>C12/C14</f>
        <v/>
      </c>
      <c r="K12" s="19">
        <f>I12-J12</f>
        <v/>
      </c>
    </row>
    <row r="13" ht="14.25" customHeight="1" s="113">
      <c r="B13" s="10" t="inlineStr">
        <is>
          <t>GIPSYY</t>
        </is>
      </c>
      <c r="C13" s="94" t="n">
        <v>47307.67</v>
      </c>
      <c r="D13" s="95" t="n">
        <v>58988.7</v>
      </c>
      <c r="F13" s="45">
        <f>D13/C13-1</f>
        <v/>
      </c>
      <c r="G13" s="14">
        <f>D13-C13</f>
        <v/>
      </c>
      <c r="I13" s="15" t="n">
        <v>0.001</v>
      </c>
      <c r="J13" s="42" t="n">
        <v>0.001</v>
      </c>
      <c r="K13" s="15">
        <f>I13-J13</f>
        <v/>
      </c>
    </row>
    <row r="14" ht="14.25" customHeight="1" s="113">
      <c r="B14" s="99" t="inlineStr">
        <is>
          <t>TOTAL</t>
        </is>
      </c>
      <c r="C14" s="100">
        <f>SUM(C5:C13)</f>
        <v/>
      </c>
      <c r="D14" s="101">
        <f>SUM(D5:D13)</f>
        <v/>
      </c>
      <c r="F14" s="102">
        <f>D14/C14-1</f>
        <v/>
      </c>
      <c r="G14" s="103">
        <f>D14-C14</f>
        <v/>
      </c>
      <c r="I14" s="104" t="n"/>
      <c r="J14" s="104" t="n"/>
      <c r="K14" s="104" t="n"/>
    </row>
    <row r="15" ht="14.25" customHeight="1" s="113"/>
    <row r="16" ht="14.25" customHeight="1" s="113">
      <c r="B16" s="89" t="inlineStr">
        <is>
          <t>CANAIS</t>
        </is>
      </c>
      <c r="C16" s="89" t="n">
        <v>2024</v>
      </c>
      <c r="D16" s="90" t="n">
        <v>2025</v>
      </c>
      <c r="F16" s="89" t="inlineStr">
        <is>
          <t>% 25 X 24</t>
        </is>
      </c>
      <c r="G16" s="90" t="inlineStr">
        <is>
          <t>DIF 25 X 24</t>
        </is>
      </c>
      <c r="I16" s="89" t="inlineStr">
        <is>
          <t>% PART. 25</t>
        </is>
      </c>
      <c r="J16" s="89" t="inlineStr">
        <is>
          <t>% PART. 24</t>
        </is>
      </c>
      <c r="K16" s="105" t="inlineStr">
        <is>
          <t>% VAR</t>
        </is>
      </c>
    </row>
    <row r="17" ht="14.25" customHeight="1" s="113">
      <c r="B17" s="16" t="inlineStr">
        <is>
          <t>OFFLINE</t>
        </is>
      </c>
      <c r="C17" s="97">
        <f>C5+C6</f>
        <v/>
      </c>
      <c r="D17" s="98">
        <f>D5+D6</f>
        <v/>
      </c>
      <c r="F17" s="45">
        <f>D17/C17-1</f>
        <v/>
      </c>
      <c r="G17" s="14">
        <f>G5+G6</f>
        <v/>
      </c>
      <c r="I17" s="9">
        <f>I5+I6</f>
        <v/>
      </c>
      <c r="J17" s="35">
        <f>J5+J6</f>
        <v/>
      </c>
      <c r="K17" s="9">
        <f>I17-J17</f>
        <v/>
      </c>
    </row>
    <row r="18" ht="14.25" customHeight="1" s="113">
      <c r="B18" s="10" t="inlineStr">
        <is>
          <t>ONLINE</t>
        </is>
      </c>
      <c r="C18" s="94">
        <f>C7+C8+C9+C10+C11+C12+C13</f>
        <v/>
      </c>
      <c r="D18" s="95">
        <f>D7+D8+D9+D10+D11+D12+D13</f>
        <v/>
      </c>
      <c r="F18" s="45">
        <f>D18/C18-1</f>
        <v/>
      </c>
      <c r="G18" s="14">
        <f>G7+G8+G9+G10+G11+G12+G13</f>
        <v/>
      </c>
      <c r="I18" s="15">
        <f>I7+I8+I9+I10+I11+I12+I13</f>
        <v/>
      </c>
      <c r="J18" s="42">
        <f>J7+J8+J9+J10+J11+J12+J13</f>
        <v/>
      </c>
      <c r="K18" s="15">
        <f>I18-J18</f>
        <v/>
      </c>
    </row>
    <row r="19" ht="14.25" customHeight="1" s="113">
      <c r="B19" s="106" t="inlineStr">
        <is>
          <t>TOTAL</t>
        </is>
      </c>
      <c r="C19" s="107">
        <f>C17+C18</f>
        <v/>
      </c>
      <c r="D19" s="107">
        <f>D17+D18</f>
        <v/>
      </c>
      <c r="F19" s="108">
        <f>D19/C19-1</f>
        <v/>
      </c>
      <c r="G19" s="109">
        <f>D19-C19</f>
        <v/>
      </c>
      <c r="I19" s="110" t="n"/>
      <c r="J19" s="110" t="n"/>
      <c r="K19" s="110" t="n"/>
    </row>
    <row r="20" ht="14.25" customHeight="1" s="113"/>
    <row r="21" ht="14.25" customHeight="1" s="113"/>
    <row r="22" ht="14.25" customHeight="1" s="113"/>
    <row r="23" ht="14.25" customHeight="1" s="113"/>
    <row r="24" ht="14.25" customHeight="1" s="113"/>
    <row r="25" ht="14.25" customHeight="1" s="113"/>
    <row r="26" ht="14.25" customHeight="1" s="113"/>
    <row r="27" ht="14.25" customHeight="1" s="113"/>
    <row r="28" ht="14.25" customHeight="1" s="113"/>
    <row r="29" ht="14.25" customHeight="1" s="113"/>
    <row r="30" ht="14.25" customHeight="1" s="113"/>
    <row r="31" ht="14.25" customHeight="1" s="113"/>
    <row r="32" ht="14.25" customHeight="1" s="113"/>
    <row r="33" ht="14.25" customHeight="1" s="113"/>
    <row r="34" ht="14.25" customHeight="1" s="113"/>
    <row r="35" ht="14.25" customHeight="1" s="113"/>
    <row r="36" ht="14.25" customHeight="1" s="113"/>
    <row r="37" ht="14.25" customHeight="1" s="113"/>
    <row r="38" ht="14.25" customHeight="1" s="113"/>
    <row r="39" ht="14.25" customHeight="1" s="113"/>
    <row r="40" ht="14.25" customHeight="1" s="113"/>
    <row r="41" ht="14.25" customHeight="1" s="113"/>
    <row r="42" ht="14.25" customHeight="1" s="113"/>
    <row r="43" ht="14.25" customHeight="1" s="113"/>
    <row r="44" ht="14.25" customHeight="1" s="113"/>
    <row r="45" ht="14.25" customHeight="1" s="113"/>
    <row r="46" ht="14.25" customHeight="1" s="113"/>
    <row r="47" ht="14.25" customHeight="1" s="113"/>
    <row r="48" ht="14.25" customHeight="1" s="113"/>
    <row r="49" ht="14.25" customHeight="1" s="113"/>
    <row r="50" ht="14.25" customHeight="1" s="113"/>
    <row r="51" ht="14.25" customHeight="1" s="113"/>
    <row r="52" ht="14.25" customHeight="1" s="113"/>
    <row r="53" ht="14.25" customHeight="1" s="113"/>
    <row r="54" ht="14.25" customHeight="1" s="113"/>
    <row r="55" ht="14.25" customHeight="1" s="113"/>
    <row r="56" ht="14.25" customHeight="1" s="113"/>
    <row r="57" ht="14.25" customHeight="1" s="113"/>
    <row r="58" ht="14.25" customHeight="1" s="113"/>
    <row r="59" ht="14.25" customHeight="1" s="113"/>
    <row r="60" ht="14.25" customHeight="1" s="113"/>
    <row r="61" ht="14.25" customHeight="1" s="113"/>
    <row r="62" ht="14.25" customHeight="1" s="113"/>
    <row r="63" ht="14.25" customHeight="1" s="113"/>
    <row r="64" ht="14.25" customHeight="1" s="113"/>
    <row r="65" ht="14.25" customHeight="1" s="113"/>
    <row r="66" ht="14.25" customHeight="1" s="113"/>
    <row r="67" ht="14.25" customHeight="1" s="113"/>
    <row r="68" ht="14.25" customHeight="1" s="113"/>
    <row r="69" ht="14.25" customHeight="1" s="113"/>
    <row r="70" ht="14.25" customHeight="1" s="113"/>
    <row r="71" ht="14.25" customHeight="1" s="113"/>
    <row r="72" ht="14.25" customHeight="1" s="113"/>
    <row r="73" ht="14.25" customHeight="1" s="113"/>
    <row r="74" ht="14.25" customHeight="1" s="113"/>
    <row r="75" ht="14.25" customHeight="1" s="113"/>
    <row r="76" ht="14.25" customHeight="1" s="113"/>
    <row r="77" ht="14.25" customHeight="1" s="113"/>
    <row r="78" ht="14.25" customHeight="1" s="113"/>
    <row r="79" ht="14.25" customHeight="1" s="113"/>
    <row r="80" ht="14.25" customHeight="1" s="113"/>
    <row r="81" ht="14.25" customHeight="1" s="113"/>
    <row r="82" ht="14.25" customHeight="1" s="113"/>
    <row r="83" ht="14.25" customHeight="1" s="113"/>
    <row r="84" ht="14.25" customHeight="1" s="113"/>
    <row r="85" ht="14.25" customHeight="1" s="113"/>
    <row r="86" ht="14.25" customHeight="1" s="113"/>
    <row r="87" ht="14.25" customHeight="1" s="113"/>
    <row r="88" ht="14.25" customHeight="1" s="113"/>
    <row r="89" ht="14.25" customHeight="1" s="113"/>
    <row r="90" ht="14.25" customHeight="1" s="113"/>
    <row r="91" ht="14.25" customHeight="1" s="113"/>
    <row r="92" ht="14.25" customHeight="1" s="113"/>
    <row r="93" ht="14.25" customHeight="1" s="113"/>
    <row r="94" ht="14.25" customHeight="1" s="113"/>
    <row r="95" ht="14.25" customHeight="1" s="113"/>
    <row r="96" ht="14.25" customHeight="1" s="113"/>
    <row r="97" ht="14.25" customHeight="1" s="113"/>
    <row r="98" ht="14.25" customHeight="1" s="113"/>
    <row r="99" ht="14.25" customHeight="1" s="113"/>
    <row r="100" ht="14.25" customHeight="1" s="113"/>
    <row r="101" ht="14.25" customHeight="1" s="113"/>
    <row r="102" ht="14.25" customHeight="1" s="113"/>
    <row r="103" ht="14.25" customHeight="1" s="113"/>
    <row r="104" ht="14.25" customHeight="1" s="113"/>
    <row r="105" ht="14.25" customHeight="1" s="113"/>
    <row r="106" ht="14.25" customHeight="1" s="113"/>
    <row r="107" ht="14.25" customHeight="1" s="113"/>
    <row r="108" ht="14.25" customHeight="1" s="113"/>
    <row r="109" ht="14.25" customHeight="1" s="113"/>
    <row r="110" ht="14.25" customHeight="1" s="113"/>
    <row r="111" ht="14.25" customHeight="1" s="113"/>
    <row r="112" ht="14.25" customHeight="1" s="113"/>
    <row r="113" ht="14.25" customHeight="1" s="113"/>
    <row r="114" ht="14.25" customHeight="1" s="113"/>
    <row r="115" ht="14.25" customHeight="1" s="113"/>
    <row r="116" ht="14.25" customHeight="1" s="113"/>
    <row r="117" ht="14.25" customHeight="1" s="113"/>
    <row r="118" ht="14.25" customHeight="1" s="113"/>
    <row r="119" ht="14.25" customHeight="1" s="113"/>
    <row r="120" ht="14.25" customHeight="1" s="113"/>
    <row r="121" ht="14.25" customHeight="1" s="113"/>
    <row r="122" ht="14.25" customHeight="1" s="113"/>
    <row r="123" ht="14.25" customHeight="1" s="113"/>
    <row r="124" ht="14.25" customHeight="1" s="113"/>
    <row r="125" ht="14.25" customHeight="1" s="113"/>
    <row r="126" ht="14.25" customHeight="1" s="113"/>
    <row r="127" ht="14.25" customHeight="1" s="113"/>
    <row r="128" ht="14.25" customHeight="1" s="113"/>
    <row r="129" ht="14.25" customHeight="1" s="113"/>
    <row r="130" ht="14.25" customHeight="1" s="113"/>
    <row r="131" ht="14.25" customHeight="1" s="113"/>
    <row r="132" ht="14.25" customHeight="1" s="113"/>
    <row r="133" ht="14.25" customHeight="1" s="113"/>
    <row r="134" ht="14.25" customHeight="1" s="113"/>
    <row r="135" ht="14.25" customHeight="1" s="113"/>
    <row r="136" ht="14.25" customHeight="1" s="113"/>
    <row r="137" ht="14.25" customHeight="1" s="113"/>
    <row r="138" ht="14.25" customHeight="1" s="113"/>
    <row r="139" ht="14.25" customHeight="1" s="113"/>
    <row r="140" ht="14.25" customHeight="1" s="113"/>
    <row r="141" ht="14.25" customHeight="1" s="113"/>
    <row r="142" ht="14.25" customHeight="1" s="113"/>
    <row r="143" ht="14.25" customHeight="1" s="113"/>
    <row r="144" ht="14.25" customHeight="1" s="113"/>
    <row r="145" ht="14.25" customHeight="1" s="113"/>
    <row r="146" ht="14.25" customHeight="1" s="113"/>
    <row r="147" ht="14.25" customHeight="1" s="113"/>
    <row r="148" ht="14.25" customHeight="1" s="113"/>
    <row r="149" ht="14.25" customHeight="1" s="113"/>
    <row r="150" ht="14.25" customHeight="1" s="113"/>
    <row r="151" ht="14.25" customHeight="1" s="113"/>
    <row r="152" ht="14.25" customHeight="1" s="113"/>
    <row r="153" ht="14.25" customHeight="1" s="113"/>
    <row r="154" ht="14.25" customHeight="1" s="113"/>
    <row r="155" ht="14.25" customHeight="1" s="113"/>
    <row r="156" ht="14.25" customHeight="1" s="113"/>
    <row r="157" ht="14.25" customHeight="1" s="113"/>
    <row r="158" ht="14.25" customHeight="1" s="113"/>
    <row r="159" ht="14.25" customHeight="1" s="113"/>
    <row r="160" ht="14.25" customHeight="1" s="113"/>
    <row r="161" ht="14.25" customHeight="1" s="113"/>
    <row r="162" ht="14.25" customHeight="1" s="113"/>
    <row r="163" ht="14.25" customHeight="1" s="113"/>
    <row r="164" ht="14.25" customHeight="1" s="113"/>
    <row r="165" ht="14.25" customHeight="1" s="113"/>
    <row r="166" ht="14.25" customHeight="1" s="113"/>
    <row r="167" ht="14.25" customHeight="1" s="113"/>
    <row r="168" ht="14.25" customHeight="1" s="113"/>
    <row r="169" ht="14.25" customHeight="1" s="113"/>
    <row r="170" ht="14.25" customHeight="1" s="113"/>
    <row r="171" ht="14.25" customHeight="1" s="113"/>
    <row r="172" ht="14.25" customHeight="1" s="113"/>
    <row r="173" ht="14.25" customHeight="1" s="113"/>
    <row r="174" ht="14.25" customHeight="1" s="113"/>
    <row r="175" ht="14.25" customHeight="1" s="113"/>
    <row r="176" ht="14.25" customHeight="1" s="113"/>
    <row r="177" ht="14.25" customHeight="1" s="113"/>
    <row r="178" ht="14.25" customHeight="1" s="113"/>
    <row r="179" ht="14.25" customHeight="1" s="113"/>
    <row r="180" ht="14.25" customHeight="1" s="113"/>
    <row r="181" ht="14.25" customHeight="1" s="113"/>
    <row r="182" ht="14.25" customHeight="1" s="113"/>
    <row r="183" ht="14.25" customHeight="1" s="113"/>
    <row r="184" ht="14.25" customHeight="1" s="113"/>
    <row r="185" ht="14.25" customHeight="1" s="113"/>
    <row r="186" ht="14.25" customHeight="1" s="113"/>
    <row r="187" ht="14.25" customHeight="1" s="113"/>
    <row r="188" ht="14.25" customHeight="1" s="113"/>
    <row r="189" ht="14.25" customHeight="1" s="113"/>
    <row r="190" ht="14.25" customHeight="1" s="113"/>
    <row r="191" ht="14.25" customHeight="1" s="113"/>
    <row r="192" ht="14.25" customHeight="1" s="113"/>
    <row r="193" ht="14.25" customHeight="1" s="113"/>
    <row r="194" ht="14.25" customHeight="1" s="113"/>
    <row r="195" ht="14.25" customHeight="1" s="113"/>
    <row r="196" ht="14.25" customHeight="1" s="113"/>
    <row r="197" ht="14.25" customHeight="1" s="113"/>
    <row r="198" ht="14.25" customHeight="1" s="113"/>
    <row r="199" ht="14.25" customHeight="1" s="113"/>
    <row r="200" ht="14.25" customHeight="1" s="113"/>
    <row r="201" ht="14.25" customHeight="1" s="113"/>
    <row r="202" ht="14.25" customHeight="1" s="113"/>
    <row r="203" ht="14.25" customHeight="1" s="113"/>
    <row r="204" ht="14.25" customHeight="1" s="113"/>
    <row r="205" ht="14.25" customHeight="1" s="113"/>
    <row r="206" ht="14.25" customHeight="1" s="113"/>
    <row r="207" ht="14.25" customHeight="1" s="113"/>
    <row r="208" ht="14.25" customHeight="1" s="113"/>
    <row r="209" ht="14.25" customHeight="1" s="113"/>
    <row r="210" ht="14.25" customHeight="1" s="113"/>
    <row r="211" ht="14.25" customHeight="1" s="113"/>
    <row r="212" ht="14.25" customHeight="1" s="113"/>
    <row r="213" ht="14.25" customHeight="1" s="113"/>
    <row r="214" ht="14.25" customHeight="1" s="113"/>
    <row r="215" ht="14.25" customHeight="1" s="113"/>
    <row r="216" ht="14.25" customHeight="1" s="113"/>
    <row r="217" ht="14.25" customHeight="1" s="113"/>
    <row r="218" ht="14.25" customHeight="1" s="113"/>
    <row r="219" ht="14.25" customHeight="1" s="113"/>
    <row r="220" ht="14.25" customHeight="1" s="113"/>
    <row r="221" ht="14.25" customHeight="1" s="113"/>
    <row r="222" ht="14.25" customHeight="1" s="113"/>
    <row r="223" ht="14.25" customHeight="1" s="113"/>
    <row r="224" ht="14.25" customHeight="1" s="113"/>
    <row r="225" ht="14.25" customHeight="1" s="113"/>
    <row r="226" ht="14.25" customHeight="1" s="113"/>
    <row r="227" ht="14.25" customHeight="1" s="113"/>
    <row r="228" ht="14.25" customHeight="1" s="113"/>
    <row r="229" ht="14.25" customHeight="1" s="113"/>
    <row r="230" ht="14.25" customHeight="1" s="113"/>
    <row r="231" ht="14.25" customHeight="1" s="113"/>
    <row r="232" ht="14.25" customHeight="1" s="113"/>
    <row r="233" ht="14.25" customHeight="1" s="113"/>
    <row r="234" ht="14.25" customHeight="1" s="113"/>
    <row r="235" ht="14.25" customHeight="1" s="113"/>
    <row r="236" ht="14.25" customHeight="1" s="113"/>
    <row r="237" ht="14.25" customHeight="1" s="113"/>
    <row r="238" ht="14.25" customHeight="1" s="113"/>
    <row r="239" ht="14.25" customHeight="1" s="113"/>
    <row r="240" ht="14.25" customHeight="1" s="113"/>
    <row r="241" ht="14.25" customHeight="1" s="113"/>
    <row r="242" ht="14.25" customHeight="1" s="113"/>
    <row r="243" ht="14.25" customHeight="1" s="113"/>
    <row r="244" ht="14.25" customHeight="1" s="113"/>
    <row r="245" ht="14.25" customHeight="1" s="113"/>
    <row r="246" ht="14.25" customHeight="1" s="113"/>
    <row r="247" ht="14.25" customHeight="1" s="113"/>
    <row r="248" ht="14.25" customHeight="1" s="113"/>
    <row r="249" ht="14.25" customHeight="1" s="113"/>
    <row r="250" ht="14.25" customHeight="1" s="113"/>
    <row r="251" ht="14.25" customHeight="1" s="113"/>
    <row r="252" ht="14.25" customHeight="1" s="113"/>
    <row r="253" ht="14.25" customHeight="1" s="113"/>
    <row r="254" ht="14.25" customHeight="1" s="113"/>
    <row r="255" ht="14.25" customHeight="1" s="113"/>
    <row r="256" ht="14.25" customHeight="1" s="113"/>
    <row r="257" ht="14.25" customHeight="1" s="113"/>
    <row r="258" ht="14.25" customHeight="1" s="113"/>
    <row r="259" ht="14.25" customHeight="1" s="113"/>
    <row r="260" ht="14.25" customHeight="1" s="113"/>
    <row r="261" ht="14.25" customHeight="1" s="113"/>
    <row r="262" ht="14.25" customHeight="1" s="113"/>
    <row r="263" ht="14.25" customHeight="1" s="113"/>
    <row r="264" ht="14.25" customHeight="1" s="113"/>
    <row r="265" ht="14.25" customHeight="1" s="113"/>
    <row r="266" ht="14.25" customHeight="1" s="113"/>
    <row r="267" ht="14.25" customHeight="1" s="113"/>
    <row r="268" ht="14.25" customHeight="1" s="113"/>
    <row r="269" ht="14.25" customHeight="1" s="113"/>
    <row r="270" ht="14.25" customHeight="1" s="113"/>
    <row r="271" ht="14.25" customHeight="1" s="113"/>
    <row r="272" ht="14.25" customHeight="1" s="113"/>
    <row r="273" ht="14.25" customHeight="1" s="113"/>
    <row r="274" ht="14.25" customHeight="1" s="113"/>
    <row r="275" ht="14.25" customHeight="1" s="113"/>
    <row r="276" ht="14.25" customHeight="1" s="113"/>
    <row r="277" ht="14.25" customHeight="1" s="113"/>
    <row r="278" ht="14.25" customHeight="1" s="113"/>
    <row r="279" ht="14.25" customHeight="1" s="113"/>
    <row r="280" ht="14.25" customHeight="1" s="113"/>
    <row r="281" ht="14.25" customHeight="1" s="113"/>
    <row r="282" ht="14.25" customHeight="1" s="113"/>
    <row r="283" ht="14.25" customHeight="1" s="113"/>
    <row r="284" ht="14.25" customHeight="1" s="113"/>
    <row r="285" ht="14.25" customHeight="1" s="113"/>
    <row r="286" ht="14.25" customHeight="1" s="113"/>
    <row r="287" ht="14.25" customHeight="1" s="113"/>
    <row r="288" ht="14.25" customHeight="1" s="113"/>
    <row r="289" ht="14.25" customHeight="1" s="113"/>
    <row r="290" ht="14.25" customHeight="1" s="113"/>
    <row r="291" ht="14.25" customHeight="1" s="113"/>
    <row r="292" ht="14.25" customHeight="1" s="113"/>
    <row r="293" ht="14.25" customHeight="1" s="113"/>
    <row r="294" ht="14.25" customHeight="1" s="113"/>
    <row r="295" ht="14.25" customHeight="1" s="113"/>
    <row r="296" ht="14.25" customHeight="1" s="113"/>
    <row r="297" ht="14.25" customHeight="1" s="113"/>
    <row r="298" ht="14.25" customHeight="1" s="113"/>
    <row r="299" ht="14.25" customHeight="1" s="113"/>
    <row r="300" ht="14.25" customHeight="1" s="113"/>
    <row r="301" ht="14.25" customHeight="1" s="113"/>
    <row r="302" ht="14.25" customHeight="1" s="113"/>
    <row r="303" ht="14.25" customHeight="1" s="113"/>
    <row r="304" ht="14.25" customHeight="1" s="113"/>
    <row r="305" ht="14.25" customHeight="1" s="113"/>
    <row r="306" ht="14.25" customHeight="1" s="113"/>
    <row r="307" ht="14.25" customHeight="1" s="113"/>
    <row r="308" ht="14.25" customHeight="1" s="113"/>
    <row r="309" ht="14.25" customHeight="1" s="113"/>
    <row r="310" ht="14.25" customHeight="1" s="113"/>
    <row r="311" ht="14.25" customHeight="1" s="113"/>
    <row r="312" ht="14.25" customHeight="1" s="113"/>
    <row r="313" ht="14.25" customHeight="1" s="113"/>
    <row r="314" ht="14.25" customHeight="1" s="113"/>
    <row r="315" ht="14.25" customHeight="1" s="113"/>
    <row r="316" ht="14.25" customHeight="1" s="113"/>
    <row r="317" ht="14.25" customHeight="1" s="113"/>
    <row r="318" ht="14.25" customHeight="1" s="113"/>
    <row r="319" ht="14.25" customHeight="1" s="113"/>
    <row r="320" ht="14.25" customHeight="1" s="113"/>
    <row r="321" ht="14.25" customHeight="1" s="113"/>
    <row r="322" ht="14.25" customHeight="1" s="113"/>
    <row r="323" ht="14.25" customHeight="1" s="113"/>
    <row r="324" ht="14.25" customHeight="1" s="113"/>
    <row r="325" ht="14.25" customHeight="1" s="113"/>
    <row r="326" ht="14.25" customHeight="1" s="113"/>
    <row r="327" ht="14.25" customHeight="1" s="113"/>
    <row r="328" ht="14.25" customHeight="1" s="113"/>
    <row r="329" ht="14.25" customHeight="1" s="113"/>
    <row r="330" ht="14.25" customHeight="1" s="113"/>
    <row r="331" ht="14.25" customHeight="1" s="113"/>
    <row r="332" ht="14.25" customHeight="1" s="113"/>
    <row r="333" ht="14.25" customHeight="1" s="113"/>
    <row r="334" ht="14.25" customHeight="1" s="113"/>
    <row r="335" ht="14.25" customHeight="1" s="113"/>
    <row r="336" ht="14.25" customHeight="1" s="113"/>
    <row r="337" ht="14.25" customHeight="1" s="113"/>
    <row r="338" ht="14.25" customHeight="1" s="113"/>
    <row r="339" ht="14.25" customHeight="1" s="113"/>
    <row r="340" ht="14.25" customHeight="1" s="113"/>
    <row r="341" ht="14.25" customHeight="1" s="113"/>
    <row r="342" ht="14.25" customHeight="1" s="113"/>
    <row r="343" ht="14.25" customHeight="1" s="113"/>
    <row r="344" ht="14.25" customHeight="1" s="113"/>
    <row r="345" ht="14.25" customHeight="1" s="113"/>
    <row r="346" ht="14.25" customHeight="1" s="113"/>
    <row r="347" ht="14.25" customHeight="1" s="113"/>
    <row r="348" ht="14.25" customHeight="1" s="113"/>
    <row r="349" ht="14.25" customHeight="1" s="113"/>
    <row r="350" ht="14.25" customHeight="1" s="113"/>
    <row r="351" ht="14.25" customHeight="1" s="113"/>
    <row r="352" ht="14.25" customHeight="1" s="113"/>
    <row r="353" ht="14.25" customHeight="1" s="113"/>
    <row r="354" ht="14.25" customHeight="1" s="113"/>
    <row r="355" ht="14.25" customHeight="1" s="113"/>
    <row r="356" ht="14.25" customHeight="1" s="113"/>
    <row r="357" ht="14.25" customHeight="1" s="113"/>
    <row r="358" ht="14.25" customHeight="1" s="113"/>
    <row r="359" ht="14.25" customHeight="1" s="113"/>
    <row r="360" ht="14.25" customHeight="1" s="113"/>
    <row r="361" ht="14.25" customHeight="1" s="113"/>
    <row r="362" ht="14.25" customHeight="1" s="113"/>
    <row r="363" ht="14.25" customHeight="1" s="113"/>
    <row r="364" ht="14.25" customHeight="1" s="113"/>
    <row r="365" ht="14.25" customHeight="1" s="113"/>
    <row r="366" ht="14.25" customHeight="1" s="113"/>
    <row r="367" ht="14.25" customHeight="1" s="113"/>
    <row r="368" ht="14.25" customHeight="1" s="113"/>
    <row r="369" ht="14.25" customHeight="1" s="113"/>
    <row r="370" ht="14.25" customHeight="1" s="113"/>
    <row r="371" ht="14.25" customHeight="1" s="113"/>
    <row r="372" ht="14.25" customHeight="1" s="113"/>
    <row r="373" ht="14.25" customHeight="1" s="113"/>
    <row r="374" ht="14.25" customHeight="1" s="113"/>
    <row r="375" ht="14.25" customHeight="1" s="113"/>
    <row r="376" ht="14.25" customHeight="1" s="113"/>
    <row r="377" ht="14.25" customHeight="1" s="113"/>
    <row r="378" ht="14.25" customHeight="1" s="113"/>
    <row r="379" ht="14.25" customHeight="1" s="113"/>
    <row r="380" ht="14.25" customHeight="1" s="113"/>
    <row r="381" ht="14.25" customHeight="1" s="113"/>
    <row r="382" ht="14.25" customHeight="1" s="113"/>
    <row r="383" ht="14.25" customHeight="1" s="113"/>
    <row r="384" ht="14.25" customHeight="1" s="113"/>
    <row r="385" ht="14.25" customHeight="1" s="113"/>
    <row r="386" ht="14.25" customHeight="1" s="113"/>
    <row r="387" ht="14.25" customHeight="1" s="113"/>
    <row r="388" ht="14.25" customHeight="1" s="113"/>
    <row r="389" ht="14.25" customHeight="1" s="113"/>
    <row r="390" ht="14.25" customHeight="1" s="113"/>
    <row r="391" ht="14.25" customHeight="1" s="113"/>
    <row r="392" ht="14.25" customHeight="1" s="113"/>
    <row r="393" ht="14.25" customHeight="1" s="113"/>
    <row r="394" ht="14.25" customHeight="1" s="113"/>
    <row r="395" ht="14.25" customHeight="1" s="113"/>
    <row r="396" ht="14.25" customHeight="1" s="113"/>
    <row r="397" ht="14.25" customHeight="1" s="113"/>
    <row r="398" ht="14.25" customHeight="1" s="113"/>
    <row r="399" ht="14.25" customHeight="1" s="113"/>
    <row r="400" ht="14.25" customHeight="1" s="113"/>
    <row r="401" ht="14.25" customHeight="1" s="113"/>
    <row r="402" ht="14.25" customHeight="1" s="113"/>
    <row r="403" ht="14.25" customHeight="1" s="113"/>
    <row r="404" ht="14.25" customHeight="1" s="113"/>
    <row r="405" ht="14.25" customHeight="1" s="113"/>
    <row r="406" ht="14.25" customHeight="1" s="113"/>
    <row r="407" ht="14.25" customHeight="1" s="113"/>
    <row r="408" ht="14.25" customHeight="1" s="113"/>
    <row r="409" ht="14.25" customHeight="1" s="113"/>
    <row r="410" ht="14.25" customHeight="1" s="113"/>
    <row r="411" ht="14.25" customHeight="1" s="113"/>
    <row r="412" ht="14.25" customHeight="1" s="113"/>
    <row r="413" ht="14.25" customHeight="1" s="113"/>
    <row r="414" ht="14.25" customHeight="1" s="113"/>
    <row r="415" ht="14.25" customHeight="1" s="113"/>
    <row r="416" ht="14.25" customHeight="1" s="113"/>
    <row r="417" ht="14.25" customHeight="1" s="113"/>
    <row r="418" ht="14.25" customHeight="1" s="113"/>
    <row r="419" ht="14.25" customHeight="1" s="113"/>
    <row r="420" ht="14.25" customHeight="1" s="113"/>
    <row r="421" ht="14.25" customHeight="1" s="113"/>
    <row r="422" ht="14.25" customHeight="1" s="113"/>
    <row r="423" ht="14.25" customHeight="1" s="113"/>
    <row r="424" ht="14.25" customHeight="1" s="113"/>
    <row r="425" ht="14.25" customHeight="1" s="113"/>
    <row r="426" ht="14.25" customHeight="1" s="113"/>
    <row r="427" ht="14.25" customHeight="1" s="113"/>
    <row r="428" ht="14.25" customHeight="1" s="113"/>
    <row r="429" ht="14.25" customHeight="1" s="113"/>
    <row r="430" ht="14.25" customHeight="1" s="113"/>
    <row r="431" ht="14.25" customHeight="1" s="113"/>
    <row r="432" ht="14.25" customHeight="1" s="113"/>
    <row r="433" ht="14.25" customHeight="1" s="113"/>
    <row r="434" ht="14.25" customHeight="1" s="113"/>
    <row r="435" ht="14.25" customHeight="1" s="113"/>
    <row r="436" ht="14.25" customHeight="1" s="113"/>
    <row r="437" ht="14.25" customHeight="1" s="113"/>
    <row r="438" ht="14.25" customHeight="1" s="113"/>
    <row r="439" ht="14.25" customHeight="1" s="113"/>
    <row r="440" ht="14.25" customHeight="1" s="113"/>
    <row r="441" ht="14.25" customHeight="1" s="113"/>
    <row r="442" ht="14.25" customHeight="1" s="113"/>
    <row r="443" ht="14.25" customHeight="1" s="113"/>
    <row r="444" ht="14.25" customHeight="1" s="113"/>
    <row r="445" ht="14.25" customHeight="1" s="113"/>
    <row r="446" ht="14.25" customHeight="1" s="113"/>
    <row r="447" ht="14.25" customHeight="1" s="113"/>
    <row r="448" ht="14.25" customHeight="1" s="113"/>
    <row r="449" ht="14.25" customHeight="1" s="113"/>
    <row r="450" ht="14.25" customHeight="1" s="113"/>
    <row r="451" ht="14.25" customHeight="1" s="113"/>
    <row r="452" ht="14.25" customHeight="1" s="113"/>
    <row r="453" ht="14.25" customHeight="1" s="113"/>
    <row r="454" ht="14.25" customHeight="1" s="113"/>
    <row r="455" ht="14.25" customHeight="1" s="113"/>
    <row r="456" ht="14.25" customHeight="1" s="113"/>
    <row r="457" ht="14.25" customHeight="1" s="113"/>
    <row r="458" ht="14.25" customHeight="1" s="113"/>
    <row r="459" ht="14.25" customHeight="1" s="113"/>
    <row r="460" ht="14.25" customHeight="1" s="113"/>
    <row r="461" ht="14.25" customHeight="1" s="113"/>
    <row r="462" ht="14.25" customHeight="1" s="113"/>
    <row r="463" ht="14.25" customHeight="1" s="113"/>
    <row r="464" ht="14.25" customHeight="1" s="113"/>
    <row r="465" ht="14.25" customHeight="1" s="113"/>
    <row r="466" ht="14.25" customHeight="1" s="113"/>
    <row r="467" ht="14.25" customHeight="1" s="113"/>
    <row r="468" ht="14.25" customHeight="1" s="113"/>
    <row r="469" ht="14.25" customHeight="1" s="113"/>
    <row r="470" ht="14.25" customHeight="1" s="113"/>
    <row r="471" ht="14.25" customHeight="1" s="113"/>
    <row r="472" ht="14.25" customHeight="1" s="113"/>
    <row r="473" ht="14.25" customHeight="1" s="113"/>
    <row r="474" ht="14.25" customHeight="1" s="113"/>
    <row r="475" ht="14.25" customHeight="1" s="113"/>
    <row r="476" ht="14.25" customHeight="1" s="113"/>
    <row r="477" ht="14.25" customHeight="1" s="113"/>
    <row r="478" ht="14.25" customHeight="1" s="113"/>
    <row r="479" ht="14.25" customHeight="1" s="113"/>
    <row r="480" ht="14.25" customHeight="1" s="113"/>
    <row r="481" ht="14.25" customHeight="1" s="113"/>
    <row r="482" ht="14.25" customHeight="1" s="113"/>
    <row r="483" ht="14.25" customHeight="1" s="113"/>
    <row r="484" ht="14.25" customHeight="1" s="113"/>
    <row r="485" ht="14.25" customHeight="1" s="113"/>
    <row r="486" ht="14.25" customHeight="1" s="113"/>
    <row r="487" ht="14.25" customHeight="1" s="113"/>
    <row r="488" ht="14.25" customHeight="1" s="113"/>
    <row r="489" ht="14.25" customHeight="1" s="113"/>
    <row r="490" ht="14.25" customHeight="1" s="113"/>
    <row r="491" ht="14.25" customHeight="1" s="113"/>
    <row r="492" ht="14.25" customHeight="1" s="113"/>
    <row r="493" ht="14.25" customHeight="1" s="113"/>
    <row r="494" ht="14.25" customHeight="1" s="113"/>
    <row r="495" ht="14.25" customHeight="1" s="113"/>
    <row r="496" ht="14.25" customHeight="1" s="113"/>
    <row r="497" ht="14.25" customHeight="1" s="113"/>
    <row r="498" ht="14.25" customHeight="1" s="113"/>
    <row r="499" ht="14.25" customHeight="1" s="113"/>
    <row r="500" ht="14.25" customHeight="1" s="113"/>
    <row r="501" ht="14.25" customHeight="1" s="113"/>
    <row r="502" ht="14.25" customHeight="1" s="113"/>
    <row r="503" ht="14.25" customHeight="1" s="113"/>
    <row r="504" ht="14.25" customHeight="1" s="113"/>
    <row r="505" ht="14.25" customHeight="1" s="113"/>
    <row r="506" ht="14.25" customHeight="1" s="113"/>
    <row r="507" ht="14.25" customHeight="1" s="113"/>
    <row r="508" ht="14.25" customHeight="1" s="113"/>
    <row r="509" ht="14.25" customHeight="1" s="113"/>
    <row r="510" ht="14.25" customHeight="1" s="113"/>
    <row r="511" ht="14.25" customHeight="1" s="113"/>
    <row r="512" ht="14.25" customHeight="1" s="113"/>
    <row r="513" ht="14.25" customHeight="1" s="113"/>
    <row r="514" ht="14.25" customHeight="1" s="113"/>
    <row r="515" ht="14.25" customHeight="1" s="113"/>
    <row r="516" ht="14.25" customHeight="1" s="113"/>
    <row r="517" ht="14.25" customHeight="1" s="113"/>
    <row r="518" ht="14.25" customHeight="1" s="113"/>
    <row r="519" ht="14.25" customHeight="1" s="113"/>
    <row r="520" ht="14.25" customHeight="1" s="113"/>
    <row r="521" ht="14.25" customHeight="1" s="113"/>
    <row r="522" ht="14.25" customHeight="1" s="113"/>
    <row r="523" ht="14.25" customHeight="1" s="113"/>
    <row r="524" ht="14.25" customHeight="1" s="113"/>
    <row r="525" ht="14.25" customHeight="1" s="113"/>
    <row r="526" ht="14.25" customHeight="1" s="113"/>
    <row r="527" ht="14.25" customHeight="1" s="113"/>
    <row r="528" ht="14.25" customHeight="1" s="113"/>
    <row r="529" ht="14.25" customHeight="1" s="113"/>
    <row r="530" ht="14.25" customHeight="1" s="113"/>
    <row r="531" ht="14.25" customHeight="1" s="113"/>
    <row r="532" ht="14.25" customHeight="1" s="113"/>
    <row r="533" ht="14.25" customHeight="1" s="113"/>
    <row r="534" ht="14.25" customHeight="1" s="113"/>
    <row r="535" ht="14.25" customHeight="1" s="113"/>
    <row r="536" ht="14.25" customHeight="1" s="113"/>
    <row r="537" ht="14.25" customHeight="1" s="113"/>
    <row r="538" ht="14.25" customHeight="1" s="113"/>
    <row r="539" ht="14.25" customHeight="1" s="113"/>
    <row r="540" ht="14.25" customHeight="1" s="113"/>
    <row r="541" ht="14.25" customHeight="1" s="113"/>
    <row r="542" ht="14.25" customHeight="1" s="113"/>
    <row r="543" ht="14.25" customHeight="1" s="113"/>
    <row r="544" ht="14.25" customHeight="1" s="113"/>
    <row r="545" ht="14.25" customHeight="1" s="113"/>
    <row r="546" ht="14.25" customHeight="1" s="113"/>
    <row r="547" ht="14.25" customHeight="1" s="113"/>
    <row r="548" ht="14.25" customHeight="1" s="113"/>
    <row r="549" ht="14.25" customHeight="1" s="113"/>
    <row r="550" ht="14.25" customHeight="1" s="113"/>
    <row r="551" ht="14.25" customHeight="1" s="113"/>
    <row r="552" ht="14.25" customHeight="1" s="113"/>
    <row r="553" ht="14.25" customHeight="1" s="113"/>
    <row r="554" ht="14.25" customHeight="1" s="113"/>
    <row r="555" ht="14.25" customHeight="1" s="113"/>
    <row r="556" ht="14.25" customHeight="1" s="113"/>
    <row r="557" ht="14.25" customHeight="1" s="113"/>
    <row r="558" ht="14.25" customHeight="1" s="113"/>
    <row r="559" ht="14.25" customHeight="1" s="113"/>
    <row r="560" ht="14.25" customHeight="1" s="113"/>
    <row r="561" ht="14.25" customHeight="1" s="113"/>
    <row r="562" ht="14.25" customHeight="1" s="113"/>
    <row r="563" ht="14.25" customHeight="1" s="113"/>
    <row r="564" ht="14.25" customHeight="1" s="113"/>
    <row r="565" ht="14.25" customHeight="1" s="113"/>
    <row r="566" ht="14.25" customHeight="1" s="113"/>
    <row r="567" ht="14.25" customHeight="1" s="113"/>
    <row r="568" ht="14.25" customHeight="1" s="113"/>
    <row r="569" ht="14.25" customHeight="1" s="113"/>
    <row r="570" ht="14.25" customHeight="1" s="113"/>
    <row r="571" ht="14.25" customHeight="1" s="113"/>
    <row r="572" ht="14.25" customHeight="1" s="113"/>
    <row r="573" ht="14.25" customHeight="1" s="113"/>
    <row r="574" ht="14.25" customHeight="1" s="113"/>
    <row r="575" ht="14.25" customHeight="1" s="113"/>
    <row r="576" ht="14.25" customHeight="1" s="113"/>
    <row r="577" ht="14.25" customHeight="1" s="113"/>
    <row r="578" ht="14.25" customHeight="1" s="113"/>
    <row r="579" ht="14.25" customHeight="1" s="113"/>
    <row r="580" ht="14.25" customHeight="1" s="113"/>
    <row r="581" ht="14.25" customHeight="1" s="113"/>
    <row r="582" ht="14.25" customHeight="1" s="113"/>
    <row r="583" ht="14.25" customHeight="1" s="113"/>
    <row r="584" ht="14.25" customHeight="1" s="113"/>
    <row r="585" ht="14.25" customHeight="1" s="113"/>
    <row r="586" ht="14.25" customHeight="1" s="113"/>
    <row r="587" ht="14.25" customHeight="1" s="113"/>
    <row r="588" ht="14.25" customHeight="1" s="113"/>
    <row r="589" ht="14.25" customHeight="1" s="113"/>
    <row r="590" ht="14.25" customHeight="1" s="113"/>
    <row r="591" ht="14.25" customHeight="1" s="113"/>
    <row r="592" ht="14.25" customHeight="1" s="113"/>
    <row r="593" ht="14.25" customHeight="1" s="113"/>
    <row r="594" ht="14.25" customHeight="1" s="113"/>
    <row r="595" ht="14.25" customHeight="1" s="113"/>
    <row r="596" ht="14.25" customHeight="1" s="113"/>
    <row r="597" ht="14.25" customHeight="1" s="113"/>
    <row r="598" ht="14.25" customHeight="1" s="113"/>
    <row r="599" ht="14.25" customHeight="1" s="113"/>
    <row r="600" ht="14.25" customHeight="1" s="113"/>
    <row r="601" ht="14.25" customHeight="1" s="113"/>
    <row r="602" ht="14.25" customHeight="1" s="113"/>
    <row r="603" ht="14.25" customHeight="1" s="113"/>
    <row r="604" ht="14.25" customHeight="1" s="113"/>
    <row r="605" ht="14.25" customHeight="1" s="113"/>
    <row r="606" ht="14.25" customHeight="1" s="113"/>
    <row r="607" ht="14.25" customHeight="1" s="113"/>
    <row r="608" ht="14.25" customHeight="1" s="113"/>
    <row r="609" ht="14.25" customHeight="1" s="113"/>
    <row r="610" ht="14.25" customHeight="1" s="113"/>
    <row r="611" ht="14.25" customHeight="1" s="113"/>
    <row r="612" ht="14.25" customHeight="1" s="113"/>
    <row r="613" ht="14.25" customHeight="1" s="113"/>
    <row r="614" ht="14.25" customHeight="1" s="113"/>
    <row r="615" ht="14.25" customHeight="1" s="113"/>
    <row r="616" ht="14.25" customHeight="1" s="113"/>
    <row r="617" ht="14.25" customHeight="1" s="113"/>
    <row r="618" ht="14.25" customHeight="1" s="113"/>
    <row r="619" ht="14.25" customHeight="1" s="113"/>
    <row r="620" ht="14.25" customHeight="1" s="113"/>
    <row r="621" ht="14.25" customHeight="1" s="113"/>
    <row r="622" ht="14.25" customHeight="1" s="113"/>
    <row r="623" ht="14.25" customHeight="1" s="113"/>
    <row r="624" ht="14.25" customHeight="1" s="113"/>
    <row r="625" ht="14.25" customHeight="1" s="113"/>
    <row r="626" ht="14.25" customHeight="1" s="113"/>
    <row r="627" ht="14.25" customHeight="1" s="113"/>
    <row r="628" ht="14.25" customHeight="1" s="113"/>
    <row r="629" ht="14.25" customHeight="1" s="113"/>
    <row r="630" ht="14.25" customHeight="1" s="113"/>
    <row r="631" ht="14.25" customHeight="1" s="113"/>
    <row r="632" ht="14.25" customHeight="1" s="113"/>
    <row r="633" ht="14.25" customHeight="1" s="113"/>
    <row r="634" ht="14.25" customHeight="1" s="113"/>
    <row r="635" ht="14.25" customHeight="1" s="113"/>
    <row r="636" ht="14.25" customHeight="1" s="113"/>
    <row r="637" ht="14.25" customHeight="1" s="113"/>
    <row r="638" ht="14.25" customHeight="1" s="113"/>
    <row r="639" ht="14.25" customHeight="1" s="113"/>
    <row r="640" ht="14.25" customHeight="1" s="113"/>
    <row r="641" ht="14.25" customHeight="1" s="113"/>
    <row r="642" ht="14.25" customHeight="1" s="113"/>
    <row r="643" ht="14.25" customHeight="1" s="113"/>
    <row r="644" ht="14.25" customHeight="1" s="113"/>
    <row r="645" ht="14.25" customHeight="1" s="113"/>
    <row r="646" ht="14.25" customHeight="1" s="113"/>
    <row r="647" ht="14.25" customHeight="1" s="113"/>
    <row r="648" ht="14.25" customHeight="1" s="113"/>
    <row r="649" ht="14.25" customHeight="1" s="113"/>
    <row r="650" ht="14.25" customHeight="1" s="113"/>
    <row r="651" ht="14.25" customHeight="1" s="113"/>
    <row r="652" ht="14.25" customHeight="1" s="113"/>
    <row r="653" ht="14.25" customHeight="1" s="113"/>
    <row r="654" ht="14.25" customHeight="1" s="113"/>
    <row r="655" ht="14.25" customHeight="1" s="113"/>
    <row r="656" ht="14.25" customHeight="1" s="113"/>
    <row r="657" ht="14.25" customHeight="1" s="113"/>
    <row r="658" ht="14.25" customHeight="1" s="113"/>
    <row r="659" ht="14.25" customHeight="1" s="113"/>
    <row r="660" ht="14.25" customHeight="1" s="113"/>
    <row r="661" ht="14.25" customHeight="1" s="113"/>
    <row r="662" ht="14.25" customHeight="1" s="113"/>
    <row r="663" ht="14.25" customHeight="1" s="113"/>
    <row r="664" ht="14.25" customHeight="1" s="113"/>
    <row r="665" ht="14.25" customHeight="1" s="113"/>
    <row r="666" ht="14.25" customHeight="1" s="113"/>
    <row r="667" ht="14.25" customHeight="1" s="113"/>
    <row r="668" ht="14.25" customHeight="1" s="113"/>
    <row r="669" ht="14.25" customHeight="1" s="113"/>
    <row r="670" ht="14.25" customHeight="1" s="113"/>
    <row r="671" ht="14.25" customHeight="1" s="113"/>
    <row r="672" ht="14.25" customHeight="1" s="113"/>
    <row r="673" ht="14.25" customHeight="1" s="113"/>
    <row r="674" ht="14.25" customHeight="1" s="113"/>
    <row r="675" ht="14.25" customHeight="1" s="113"/>
    <row r="676" ht="14.25" customHeight="1" s="113"/>
    <row r="677" ht="14.25" customHeight="1" s="113"/>
    <row r="678" ht="14.25" customHeight="1" s="113"/>
    <row r="679" ht="14.25" customHeight="1" s="113"/>
    <row r="680" ht="14.25" customHeight="1" s="113"/>
    <row r="681" ht="14.25" customHeight="1" s="113"/>
    <row r="682" ht="14.25" customHeight="1" s="113"/>
    <row r="683" ht="14.25" customHeight="1" s="113"/>
    <row r="684" ht="14.25" customHeight="1" s="113"/>
    <row r="685" ht="14.25" customHeight="1" s="113"/>
    <row r="686" ht="14.25" customHeight="1" s="113"/>
    <row r="687" ht="14.25" customHeight="1" s="113"/>
    <row r="688" ht="14.25" customHeight="1" s="113"/>
    <row r="689" ht="14.25" customHeight="1" s="113"/>
    <row r="690" ht="14.25" customHeight="1" s="113"/>
    <row r="691" ht="14.25" customHeight="1" s="113"/>
    <row r="692" ht="14.25" customHeight="1" s="113"/>
    <row r="693" ht="14.25" customHeight="1" s="113"/>
    <row r="694" ht="14.25" customHeight="1" s="113"/>
    <row r="695" ht="14.25" customHeight="1" s="113"/>
    <row r="696" ht="14.25" customHeight="1" s="113"/>
    <row r="697" ht="14.25" customHeight="1" s="113"/>
    <row r="698" ht="14.25" customHeight="1" s="113"/>
    <row r="699" ht="14.25" customHeight="1" s="113"/>
    <row r="700" ht="14.25" customHeight="1" s="113"/>
    <row r="701" ht="14.25" customHeight="1" s="113"/>
    <row r="702" ht="14.25" customHeight="1" s="113"/>
    <row r="703" ht="14.25" customHeight="1" s="113"/>
    <row r="704" ht="14.25" customHeight="1" s="113"/>
    <row r="705" ht="14.25" customHeight="1" s="113"/>
    <row r="706" ht="14.25" customHeight="1" s="113"/>
    <row r="707" ht="14.25" customHeight="1" s="113"/>
    <row r="708" ht="14.25" customHeight="1" s="113"/>
    <row r="709" ht="14.25" customHeight="1" s="113"/>
    <row r="710" ht="14.25" customHeight="1" s="113"/>
    <row r="711" ht="14.25" customHeight="1" s="113"/>
    <row r="712" ht="14.25" customHeight="1" s="113"/>
    <row r="713" ht="14.25" customHeight="1" s="113"/>
    <row r="714" ht="14.25" customHeight="1" s="113"/>
    <row r="715" ht="14.25" customHeight="1" s="113"/>
    <row r="716" ht="14.25" customHeight="1" s="113"/>
    <row r="717" ht="14.25" customHeight="1" s="113"/>
    <row r="718" ht="14.25" customHeight="1" s="113"/>
    <row r="719" ht="14.25" customHeight="1" s="113"/>
    <row r="720" ht="14.25" customHeight="1" s="113"/>
    <row r="721" ht="14.25" customHeight="1" s="113"/>
    <row r="722" ht="14.25" customHeight="1" s="113"/>
    <row r="723" ht="14.25" customHeight="1" s="113"/>
    <row r="724" ht="14.25" customHeight="1" s="113"/>
    <row r="725" ht="14.25" customHeight="1" s="113"/>
    <row r="726" ht="14.25" customHeight="1" s="113"/>
    <row r="727" ht="14.25" customHeight="1" s="113"/>
    <row r="728" ht="14.25" customHeight="1" s="113"/>
    <row r="729" ht="14.25" customHeight="1" s="113"/>
    <row r="730" ht="14.25" customHeight="1" s="113"/>
    <row r="731" ht="14.25" customHeight="1" s="113"/>
    <row r="732" ht="14.25" customHeight="1" s="113"/>
    <row r="733" ht="14.25" customHeight="1" s="113"/>
    <row r="734" ht="14.25" customHeight="1" s="113"/>
    <row r="735" ht="14.25" customHeight="1" s="113"/>
    <row r="736" ht="14.25" customHeight="1" s="113"/>
    <row r="737" ht="14.25" customHeight="1" s="113"/>
    <row r="738" ht="14.25" customHeight="1" s="113"/>
    <row r="739" ht="14.25" customHeight="1" s="113"/>
    <row r="740" ht="14.25" customHeight="1" s="113"/>
    <row r="741" ht="14.25" customHeight="1" s="113"/>
    <row r="742" ht="14.25" customHeight="1" s="113"/>
    <row r="743" ht="14.25" customHeight="1" s="113"/>
    <row r="744" ht="14.25" customHeight="1" s="113"/>
    <row r="745" ht="14.25" customHeight="1" s="113"/>
    <row r="746" ht="14.25" customHeight="1" s="113"/>
    <row r="747" ht="14.25" customHeight="1" s="113"/>
    <row r="748" ht="14.25" customHeight="1" s="113"/>
    <row r="749" ht="14.25" customHeight="1" s="113"/>
    <row r="750" ht="14.25" customHeight="1" s="113"/>
    <row r="751" ht="14.25" customHeight="1" s="113"/>
    <row r="752" ht="14.25" customHeight="1" s="113"/>
    <row r="753" ht="14.25" customHeight="1" s="113"/>
    <row r="754" ht="14.25" customHeight="1" s="113"/>
    <row r="755" ht="14.25" customHeight="1" s="113"/>
    <row r="756" ht="14.25" customHeight="1" s="113"/>
    <row r="757" ht="14.25" customHeight="1" s="113"/>
    <row r="758" ht="14.25" customHeight="1" s="113"/>
    <row r="759" ht="14.25" customHeight="1" s="113"/>
    <row r="760" ht="14.25" customHeight="1" s="113"/>
    <row r="761" ht="14.25" customHeight="1" s="113"/>
    <row r="762" ht="14.25" customHeight="1" s="113"/>
    <row r="763" ht="14.25" customHeight="1" s="113"/>
    <row r="764" ht="14.25" customHeight="1" s="113"/>
    <row r="765" ht="14.25" customHeight="1" s="113"/>
    <row r="766" ht="14.25" customHeight="1" s="113"/>
    <row r="767" ht="14.25" customHeight="1" s="113"/>
    <row r="768" ht="14.25" customHeight="1" s="113"/>
    <row r="769" ht="14.25" customHeight="1" s="113"/>
    <row r="770" ht="14.25" customHeight="1" s="113"/>
    <row r="771" ht="14.25" customHeight="1" s="113"/>
    <row r="772" ht="14.25" customHeight="1" s="113"/>
    <row r="773" ht="14.25" customHeight="1" s="113"/>
    <row r="774" ht="14.25" customHeight="1" s="113"/>
    <row r="775" ht="14.25" customHeight="1" s="113"/>
    <row r="776" ht="14.25" customHeight="1" s="113"/>
    <row r="777" ht="14.25" customHeight="1" s="113"/>
    <row r="778" ht="14.25" customHeight="1" s="113"/>
    <row r="779" ht="14.25" customHeight="1" s="113"/>
    <row r="780" ht="14.25" customHeight="1" s="113"/>
    <row r="781" ht="14.25" customHeight="1" s="113"/>
    <row r="782" ht="14.25" customHeight="1" s="113"/>
    <row r="783" ht="14.25" customHeight="1" s="113"/>
    <row r="784" ht="14.25" customHeight="1" s="113"/>
    <row r="785" ht="14.25" customHeight="1" s="113"/>
    <row r="786" ht="14.25" customHeight="1" s="113"/>
    <row r="787" ht="14.25" customHeight="1" s="113"/>
    <row r="788" ht="14.25" customHeight="1" s="113"/>
    <row r="789" ht="14.25" customHeight="1" s="113"/>
    <row r="790" ht="14.25" customHeight="1" s="113"/>
    <row r="791" ht="14.25" customHeight="1" s="113"/>
    <row r="792" ht="14.25" customHeight="1" s="113"/>
    <row r="793" ht="14.25" customHeight="1" s="113"/>
    <row r="794" ht="14.25" customHeight="1" s="113"/>
    <row r="795" ht="14.25" customHeight="1" s="113"/>
    <row r="796" ht="14.25" customHeight="1" s="113"/>
    <row r="797" ht="14.25" customHeight="1" s="113"/>
    <row r="798" ht="14.25" customHeight="1" s="113"/>
    <row r="799" ht="14.25" customHeight="1" s="113"/>
    <row r="800" ht="14.25" customHeight="1" s="113"/>
    <row r="801" ht="14.25" customHeight="1" s="113"/>
    <row r="802" ht="14.25" customHeight="1" s="113"/>
    <row r="803" ht="14.25" customHeight="1" s="113"/>
    <row r="804" ht="14.25" customHeight="1" s="113"/>
    <row r="805" ht="14.25" customHeight="1" s="113"/>
    <row r="806" ht="14.25" customHeight="1" s="113"/>
    <row r="807" ht="14.25" customHeight="1" s="113"/>
    <row r="808" ht="14.25" customHeight="1" s="113"/>
    <row r="809" ht="14.25" customHeight="1" s="113"/>
    <row r="810" ht="14.25" customHeight="1" s="113"/>
    <row r="811" ht="14.25" customHeight="1" s="113"/>
    <row r="812" ht="14.25" customHeight="1" s="113"/>
    <row r="813" ht="14.25" customHeight="1" s="113"/>
    <row r="814" ht="14.25" customHeight="1" s="113"/>
    <row r="815" ht="14.25" customHeight="1" s="113"/>
    <row r="816" ht="14.25" customHeight="1" s="113"/>
    <row r="817" ht="14.25" customHeight="1" s="113"/>
    <row r="818" ht="14.25" customHeight="1" s="113"/>
    <row r="819" ht="14.25" customHeight="1" s="113"/>
    <row r="820" ht="14.25" customHeight="1" s="113"/>
    <row r="821" ht="14.25" customHeight="1" s="113"/>
    <row r="822" ht="14.25" customHeight="1" s="113"/>
    <row r="823" ht="14.25" customHeight="1" s="113"/>
    <row r="824" ht="14.25" customHeight="1" s="113"/>
    <row r="825" ht="14.25" customHeight="1" s="113"/>
    <row r="826" ht="14.25" customHeight="1" s="113"/>
    <row r="827" ht="14.25" customHeight="1" s="113"/>
    <row r="828" ht="14.25" customHeight="1" s="113"/>
    <row r="829" ht="14.25" customHeight="1" s="113"/>
    <row r="830" ht="14.25" customHeight="1" s="113"/>
    <row r="831" ht="14.25" customHeight="1" s="113"/>
    <row r="832" ht="14.25" customHeight="1" s="113"/>
    <row r="833" ht="14.25" customHeight="1" s="113"/>
    <row r="834" ht="14.25" customHeight="1" s="113"/>
    <row r="835" ht="14.25" customHeight="1" s="113"/>
    <row r="836" ht="14.25" customHeight="1" s="113"/>
    <row r="837" ht="14.25" customHeight="1" s="113"/>
    <row r="838" ht="14.25" customHeight="1" s="113"/>
    <row r="839" ht="14.25" customHeight="1" s="113"/>
    <row r="840" ht="14.25" customHeight="1" s="113"/>
    <row r="841" ht="14.25" customHeight="1" s="113"/>
    <row r="842" ht="14.25" customHeight="1" s="113"/>
    <row r="843" ht="14.25" customHeight="1" s="113"/>
    <row r="844" ht="14.25" customHeight="1" s="113"/>
    <row r="845" ht="14.25" customHeight="1" s="113"/>
    <row r="846" ht="14.25" customHeight="1" s="113"/>
    <row r="847" ht="14.25" customHeight="1" s="113"/>
    <row r="848" ht="14.25" customHeight="1" s="113"/>
    <row r="849" ht="14.25" customHeight="1" s="113"/>
    <row r="850" ht="14.25" customHeight="1" s="113"/>
    <row r="851" ht="14.25" customHeight="1" s="113"/>
    <row r="852" ht="14.25" customHeight="1" s="113"/>
    <row r="853" ht="14.25" customHeight="1" s="113"/>
    <row r="854" ht="14.25" customHeight="1" s="113"/>
    <row r="855" ht="14.25" customHeight="1" s="113"/>
    <row r="856" ht="14.25" customHeight="1" s="113"/>
    <row r="857" ht="14.25" customHeight="1" s="113"/>
    <row r="858" ht="14.25" customHeight="1" s="113"/>
    <row r="859" ht="14.25" customHeight="1" s="113"/>
    <row r="860" ht="14.25" customHeight="1" s="113"/>
    <row r="861" ht="14.25" customHeight="1" s="113"/>
    <row r="862" ht="14.25" customHeight="1" s="113"/>
    <row r="863" ht="14.25" customHeight="1" s="113"/>
    <row r="864" ht="14.25" customHeight="1" s="113"/>
    <row r="865" ht="14.25" customHeight="1" s="113"/>
    <row r="866" ht="14.25" customHeight="1" s="113"/>
    <row r="867" ht="14.25" customHeight="1" s="113"/>
    <row r="868" ht="14.25" customHeight="1" s="113"/>
    <row r="869" ht="14.25" customHeight="1" s="113"/>
    <row r="870" ht="14.25" customHeight="1" s="113"/>
    <row r="871" ht="14.25" customHeight="1" s="113"/>
    <row r="872" ht="14.25" customHeight="1" s="113"/>
    <row r="873" ht="14.25" customHeight="1" s="113"/>
    <row r="874" ht="14.25" customHeight="1" s="113"/>
    <row r="875" ht="14.25" customHeight="1" s="113"/>
    <row r="876" ht="14.25" customHeight="1" s="113"/>
    <row r="877" ht="14.25" customHeight="1" s="113"/>
    <row r="878" ht="14.25" customHeight="1" s="113"/>
    <row r="879" ht="14.25" customHeight="1" s="113"/>
    <row r="880" ht="14.25" customHeight="1" s="113"/>
    <row r="881" ht="14.25" customHeight="1" s="113"/>
    <row r="882" ht="14.25" customHeight="1" s="113"/>
    <row r="883" ht="14.25" customHeight="1" s="113"/>
    <row r="884" ht="14.25" customHeight="1" s="113"/>
    <row r="885" ht="14.25" customHeight="1" s="113"/>
    <row r="886" ht="14.25" customHeight="1" s="113"/>
    <row r="887" ht="14.25" customHeight="1" s="113"/>
    <row r="888" ht="14.25" customHeight="1" s="113"/>
    <row r="889" ht="14.25" customHeight="1" s="113"/>
    <row r="890" ht="14.25" customHeight="1" s="113"/>
    <row r="891" ht="14.25" customHeight="1" s="113"/>
    <row r="892" ht="14.25" customHeight="1" s="113"/>
    <row r="893" ht="14.25" customHeight="1" s="113"/>
    <row r="894" ht="14.25" customHeight="1" s="113"/>
    <row r="895" ht="14.25" customHeight="1" s="113"/>
    <row r="896" ht="14.25" customHeight="1" s="113"/>
    <row r="897" ht="14.25" customHeight="1" s="113"/>
    <row r="898" ht="14.25" customHeight="1" s="113"/>
    <row r="899" ht="14.25" customHeight="1" s="113"/>
    <row r="900" ht="14.25" customHeight="1" s="113"/>
    <row r="901" ht="14.25" customHeight="1" s="113"/>
    <row r="902" ht="14.25" customHeight="1" s="113"/>
    <row r="903" ht="14.25" customHeight="1" s="113"/>
    <row r="904" ht="14.25" customHeight="1" s="113"/>
    <row r="905" ht="14.25" customHeight="1" s="113"/>
    <row r="906" ht="14.25" customHeight="1" s="113"/>
    <row r="907" ht="14.25" customHeight="1" s="113"/>
    <row r="908" ht="14.25" customHeight="1" s="113"/>
    <row r="909" ht="14.25" customHeight="1" s="113"/>
    <row r="910" ht="14.25" customHeight="1" s="113"/>
    <row r="911" ht="14.25" customHeight="1" s="113"/>
    <row r="912" ht="14.25" customHeight="1" s="113"/>
    <row r="913" ht="14.25" customHeight="1" s="113"/>
    <row r="914" ht="14.25" customHeight="1" s="113"/>
    <row r="915" ht="14.25" customHeight="1" s="113"/>
    <row r="916" ht="14.25" customHeight="1" s="113"/>
    <row r="917" ht="14.25" customHeight="1" s="113"/>
    <row r="918" ht="14.25" customHeight="1" s="113"/>
    <row r="919" ht="14.25" customHeight="1" s="113"/>
    <row r="920" ht="14.25" customHeight="1" s="113"/>
    <row r="921" ht="14.25" customHeight="1" s="113"/>
    <row r="922" ht="14.25" customHeight="1" s="113"/>
    <row r="923" ht="14.25" customHeight="1" s="113"/>
    <row r="924" ht="14.25" customHeight="1" s="113"/>
    <row r="925" ht="14.25" customHeight="1" s="113"/>
    <row r="926" ht="14.25" customHeight="1" s="113"/>
    <row r="927" ht="14.25" customHeight="1" s="113"/>
    <row r="928" ht="14.25" customHeight="1" s="113"/>
    <row r="929" ht="14.25" customHeight="1" s="113"/>
    <row r="930" ht="14.25" customHeight="1" s="113"/>
    <row r="931" ht="14.25" customHeight="1" s="113"/>
    <row r="932" ht="14.25" customHeight="1" s="113"/>
    <row r="933" ht="14.25" customHeight="1" s="113"/>
    <row r="934" ht="14.25" customHeight="1" s="113"/>
    <row r="935" ht="14.25" customHeight="1" s="113"/>
    <row r="936" ht="14.25" customHeight="1" s="113"/>
    <row r="937" ht="14.25" customHeight="1" s="113"/>
    <row r="938" ht="14.25" customHeight="1" s="113"/>
    <row r="939" ht="14.25" customHeight="1" s="113"/>
    <row r="940" ht="14.25" customHeight="1" s="113"/>
    <row r="941" ht="14.25" customHeight="1" s="113"/>
    <row r="942" ht="14.25" customHeight="1" s="113"/>
    <row r="943" ht="14.25" customHeight="1" s="113"/>
    <row r="944" ht="14.25" customHeight="1" s="113"/>
    <row r="945" ht="14.25" customHeight="1" s="113"/>
    <row r="946" ht="14.25" customHeight="1" s="113"/>
    <row r="947" ht="14.25" customHeight="1" s="113"/>
    <row r="948" ht="14.25" customHeight="1" s="113"/>
    <row r="949" ht="14.25" customHeight="1" s="113"/>
    <row r="950" ht="14.25" customHeight="1" s="113"/>
    <row r="951" ht="14.25" customHeight="1" s="113"/>
    <row r="952" ht="14.25" customHeight="1" s="113"/>
    <row r="953" ht="14.25" customHeight="1" s="113"/>
    <row r="954" ht="14.25" customHeight="1" s="113"/>
    <row r="955" ht="14.25" customHeight="1" s="113"/>
    <row r="956" ht="14.25" customHeight="1" s="113"/>
    <row r="957" ht="14.25" customHeight="1" s="113"/>
    <row r="958" ht="14.25" customHeight="1" s="113"/>
    <row r="959" ht="14.25" customHeight="1" s="113"/>
    <row r="960" ht="14.25" customHeight="1" s="113"/>
    <row r="961" ht="14.25" customHeight="1" s="113"/>
    <row r="962" ht="14.25" customHeight="1" s="113"/>
    <row r="963" ht="14.25" customHeight="1" s="113"/>
    <row r="964" ht="14.25" customHeight="1" s="113"/>
    <row r="965" ht="14.25" customHeight="1" s="113"/>
    <row r="966" ht="14.25" customHeight="1" s="113"/>
    <row r="967" ht="14.25" customHeight="1" s="113"/>
    <row r="968" ht="14.25" customHeight="1" s="113"/>
    <row r="969" ht="14.25" customHeight="1" s="113"/>
    <row r="970" ht="14.25" customHeight="1" s="113"/>
    <row r="971" ht="14.25" customHeight="1" s="113"/>
    <row r="972" ht="14.25" customHeight="1" s="113"/>
    <row r="973" ht="14.25" customHeight="1" s="113"/>
    <row r="974" ht="14.25" customHeight="1" s="113"/>
    <row r="975" ht="14.25" customHeight="1" s="113"/>
    <row r="976" ht="14.25" customHeight="1" s="113"/>
    <row r="977" ht="14.25" customHeight="1" s="113"/>
    <row r="978" ht="14.25" customHeight="1" s="113"/>
    <row r="979" ht="14.25" customHeight="1" s="113"/>
    <row r="980" ht="14.25" customHeight="1" s="113"/>
    <row r="981" ht="14.25" customHeight="1" s="113"/>
    <row r="982" ht="14.25" customHeight="1" s="113"/>
    <row r="983" ht="14.25" customHeight="1" s="113"/>
    <row r="984" ht="14.25" customHeight="1" s="113"/>
    <row r="985" ht="14.25" customHeight="1" s="113"/>
    <row r="986" ht="14.25" customHeight="1" s="113"/>
    <row r="987" ht="14.25" customHeight="1" s="113"/>
    <row r="988" ht="14.25" customHeight="1" s="113"/>
    <row r="989" ht="14.25" customHeight="1" s="113"/>
    <row r="990" ht="14.25" customHeight="1" s="113"/>
    <row r="991" ht="14.25" customHeight="1" s="113"/>
    <row r="992" ht="14.25" customHeight="1" s="113"/>
    <row r="993" ht="14.25" customHeight="1" s="113"/>
    <row r="994" ht="14.25" customHeight="1" s="113"/>
    <row r="995" ht="14.25" customHeight="1" s="113"/>
    <row r="996" ht="14.25" customHeight="1" s="113"/>
    <row r="997" ht="14.25" customHeight="1" s="113"/>
    <row r="998" ht="14.25" customHeight="1" s="113"/>
    <row r="999" ht="14.25" customHeight="1" s="113"/>
    <row r="1000" ht="14.25" customHeight="1" s="113"/>
  </sheetData>
  <pageMargins left="0.511811024" right="0.511811024" top="0.787401575" bottom="0.7874015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Vinicius Santos de Lima</dc:creator>
  <dcterms:created xmlns:dcterms="http://purl.org/dc/terms/" xmlns:xsi="http://www.w3.org/2001/XMLSchema-instance" xsi:type="dcterms:W3CDTF">2025-07-21T14:07:38Z</dcterms:created>
  <dcterms:modified xmlns:dcterms="http://purl.org/dc/terms/" xmlns:xsi="http://www.w3.org/2001/XMLSchema-instance" xsi:type="dcterms:W3CDTF">2026-04-20T21:12:19Z</dcterms:modified>
  <cp:lastModifiedBy>Guilherme Rodrigues Felix</cp:lastModifiedBy>
</cp:coreProperties>
</file>